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凡例・サマリー" sheetId="1" state="visible" r:id="rId3"/>
    <sheet name="カバレッジ一覧" sheetId="2" state="visible" r:id="rId4"/>
    <sheet name="調査メモ・注意事項" sheetId="3" state="visible" r:id="rId5"/>
  </sheets>
  <definedNames>
    <definedName function="false" hidden="true" localSheetId="1" name="_xlnm._FilterDatabase" vbProcedure="false">カバレッジ一覧!$A$1:$I$224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<sst xmlns="http://schemas.openxmlformats.org/spreadsheetml/2006/main" count="1886" uniqueCount="770">
  <si>
    <t xml:space="preserve">単体テスト カバレッジ・マトリクス</t>
  </si>
  <si>
    <r>
      <rPr>
        <i val="true"/>
        <sz val="10"/>
        <color rgb="FF595959"/>
        <rFont val="WenQuanYi Zen Hei"/>
        <family val="2"/>
      </rPr>
      <t xml:space="preserve">調査対象</t>
    </r>
    <r>
      <rPr>
        <i val="true"/>
        <sz val="10"/>
        <color rgb="FF595959"/>
        <rFont val="Arial"/>
        <family val="0"/>
        <charset val="1"/>
      </rPr>
      <t xml:space="preserve">: RIManager Impl (printer-fw) / </t>
    </r>
    <r>
      <rPr>
        <i val="true"/>
        <sz val="10"/>
        <color rgb="FF595959"/>
        <rFont val="WenQuanYi Zen Hei"/>
        <family val="2"/>
      </rPr>
      <t xml:space="preserve">作成日</t>
    </r>
    <r>
      <rPr>
        <i val="true"/>
        <sz val="10"/>
        <color rgb="FF595959"/>
        <rFont val="Arial"/>
        <family val="0"/>
        <charset val="1"/>
      </rPr>
      <t xml:space="preserve">: 2026-08-27</t>
    </r>
  </si>
  <si>
    <r>
      <rPr>
        <sz val="9"/>
        <rFont val="WenQuanYi Zen Hei"/>
        <family val="2"/>
      </rPr>
      <t xml:space="preserve">調査範囲</t>
    </r>
    <r>
      <rPr>
        <sz val="9"/>
        <rFont val="Arial"/>
        <family val="0"/>
        <charset val="1"/>
      </rPr>
      <t xml:space="preserve">: core/ </t>
    </r>
    <r>
      <rPr>
        <sz val="9"/>
        <rFont val="WenQuanYi Zen Hei"/>
        <family val="2"/>
      </rPr>
      <t xml:space="preserve">配下の全</t>
    </r>
    <r>
      <rPr>
        <sz val="9"/>
        <rFont val="Arial"/>
        <family val="0"/>
        <charset val="1"/>
      </rPr>
      <t xml:space="preserve">public method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products/common/rim_api.cpp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products/printer_a/printer_a.cpp </t>
    </r>
    <r>
      <rPr>
        <sz val="9"/>
        <rFont val="WenQuanYi Zen Hei"/>
        <family val="2"/>
      </rPr>
      <t xml:space="preserve">の</t>
    </r>
    <r>
      <rPr>
        <sz val="9"/>
        <rFont val="Arial"/>
        <family val="0"/>
        <charset val="1"/>
      </rPr>
      <t xml:space="preserve">C-API</t>
    </r>
    <r>
      <rPr>
        <sz val="9"/>
        <rFont val="WenQuanYi Zen Hei"/>
        <family val="2"/>
      </rPr>
      <t xml:space="preserve">群。</t>
    </r>
    <r>
      <rPr>
        <sz val="9"/>
        <rFont val="Arial"/>
        <family val="0"/>
        <charset val="1"/>
      </rPr>
      <t xml:space="preserve">test/unit/ </t>
    </r>
    <r>
      <rPr>
        <sz val="9"/>
        <rFont val="WenQuanYi Zen Hei"/>
        <family val="2"/>
      </rPr>
      <t xml:space="preserve">配下の既存テストとの突合による、正常系・異常系の網羅状況の可視化。</t>
    </r>
  </si>
  <si>
    <t xml:space="preserve">■ 凡例</t>
  </si>
  <si>
    <t xml:space="preserve">⭕</t>
  </si>
  <si>
    <t xml:space="preserve">直接テストが存在する（対象メソッドを名指しで検証）</t>
  </si>
  <si>
    <t xml:space="preserve">△</t>
  </si>
  <si>
    <r>
      <rPr>
        <sz val="10"/>
        <rFont val="WenQuanYi Zen Hei"/>
        <family val="2"/>
      </rPr>
      <t xml:space="preserve">間接的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部分的にのみテストされている（他メソッド経由・一部分岐のみ等）</t>
    </r>
  </si>
  <si>
    <t xml:space="preserve">❌</t>
  </si>
  <si>
    <t xml:space="preserve">テストが存在しない</t>
  </si>
  <si>
    <t xml:space="preserve">ー</t>
  </si>
  <si>
    <r>
      <rPr>
        <sz val="10"/>
        <rFont val="WenQuanYi Zen Hei"/>
        <family val="2"/>
      </rPr>
      <t xml:space="preserve">対象外（純粋なデータ構造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インターフェース宣言のみ等でロジックがない）</t>
    </r>
  </si>
  <si>
    <t xml:space="preserve">■ シート構成</t>
  </si>
  <si>
    <t xml:space="preserve">カバレッジ一覧</t>
  </si>
  <si>
    <r>
      <rPr>
        <sz val="10"/>
        <rFont val="WenQuanYi Zen Hei"/>
        <family val="2"/>
      </rPr>
      <t xml:space="preserve">レイヤ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クラス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メソッド単位の一覧表。正常系・異常系のテスト有無と、想定される異常系シナリオを記載。</t>
    </r>
  </si>
  <si>
    <t xml:space="preserve">調査メモ・注意事項</t>
  </si>
  <si>
    <r>
      <rPr>
        <sz val="10"/>
        <rFont val="WenQuanYi Zen Hei"/>
        <family val="2"/>
      </rPr>
      <t xml:space="preserve">調査中に見つかった設計上の疑問点（重複クラス、未実装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デッドコード、初期値の扱い等）。</t>
    </r>
  </si>
  <si>
    <t xml:space="preserve">■ サマリー（調査グループ別）</t>
  </si>
  <si>
    <t xml:space="preserve">調査グループ</t>
  </si>
  <si>
    <t xml:space="preserve">対象メソッド数</t>
  </si>
  <si>
    <t xml:space="preserve">正常系⭕</t>
  </si>
  <si>
    <t xml:space="preserve">正常系△</t>
  </si>
  <si>
    <t xml:space="preserve">正常系❌</t>
  </si>
  <si>
    <t xml:space="preserve">正常系ー</t>
  </si>
  <si>
    <t xml:space="preserve">異常系⭕</t>
  </si>
  <si>
    <t xml:space="preserve">異常系△</t>
  </si>
  <si>
    <t xml:space="preserve">異常系❌</t>
  </si>
  <si>
    <t xml:space="preserve">異常系ー</t>
  </si>
  <si>
    <t xml:space="preserve">A: Adapter/Product/Store/C-API</t>
  </si>
  <si>
    <t xml:space="preserve">Adapter/Product/Store/C-API</t>
  </si>
  <si>
    <t xml:space="preserve">B: Storage/Accessor/Snapshot</t>
  </si>
  <si>
    <t xml:space="preserve">Storage/Accessor/Snapshot</t>
  </si>
  <si>
    <t xml:space="preserve">C: Capability</t>
  </si>
  <si>
    <t xml:space="preserve">Capability</t>
  </si>
  <si>
    <t xml:space="preserve">D: Publisher</t>
  </si>
  <si>
    <t xml:space="preserve">Publisher</t>
  </si>
  <si>
    <t xml:space="preserve">合計</t>
  </si>
  <si>
    <t xml:space="preserve">レイヤ</t>
  </si>
  <si>
    <t xml:space="preserve">クラス</t>
  </si>
  <si>
    <t xml:space="preserve">メソッド</t>
  </si>
  <si>
    <t xml:space="preserve">正常系</t>
  </si>
  <si>
    <t xml:space="preserve">正常系テスト（根拠）</t>
  </si>
  <si>
    <t xml:space="preserve">異常系</t>
  </si>
  <si>
    <t xml:space="preserve">実施済み異常系シナリオ</t>
  </si>
  <si>
    <t xml:space="preserve">想定される異常系シナリオ（提案）</t>
  </si>
  <si>
    <t xml:space="preserve">Adapter</t>
  </si>
  <si>
    <t xml:space="preserve">AdapterDispatcher</t>
  </si>
  <si>
    <t xml:space="preserve">bool Dispatch(const RIMDataItem&amp;)</t>
  </si>
  <si>
    <t xml:space="preserve">AdapterDispatcherTest.DispatchNormalizesAndPushesToRouteQueue; AdapterDispatcherTest.DispatchStoresNormalizedValueWithDefinitionSetValueType</t>
  </si>
  <si>
    <t xml:space="preserve">AdapterDispatcherTest.DispatchRejectsUnregisteredDataId (unknown data id → FindDataItem returns nullptr); AdapterDispatcherTest.DispatchRejectsRawValueTypeMismatch (item.value.type != rawValueType)</t>
  </si>
  <si>
    <t xml:space="preserve">Data item found in context but missing from RouteProvider's routing table (queue==nullptr path, line `if (queue == nullptr) return false;`) — distinct from "unregistered in context"; normalize() returning a RIMValue whose type doesn't match definition-&gt;setValueType (silently mismatched, not validated); queue-&gt;storeQueue-&gt;Push() returning false (e.g. after Shutdown) is ignored — Dispatch() always returns true in that branch regardless of Push's result, a real bug worth a regression test</t>
  </si>
  <si>
    <t xml:space="preserve">Product/Definition</t>
  </si>
  <si>
    <t xml:space="preserve">ProductDefinition.cpp (free fn)</t>
  </si>
  <si>
    <t xml:space="preserve">const DomainDefinition* FindDomain(product, string_view name)</t>
  </si>
  <si>
    <t xml:space="preserve">ProductDefinitionLookupTest.FindExistingDomain</t>
  </si>
  <si>
    <t xml:space="preserve">Name not found (empty product.domains); domainCount==0 with domains==nullptr; case-sensitivity of name compare</t>
  </si>
  <si>
    <t xml:space="preserve">const RouteDefinition* FindRoute(product, string_view name)</t>
  </si>
  <si>
    <t xml:space="preserve">ProductDefinitionTest.RouteHasCompressionPolicy; ProductDefinitionTest.RouteHasMinimumNotifyInterval</t>
  </si>
  <si>
    <t xml:space="preserve">Name not found; routeCount==0</t>
  </si>
  <si>
    <t xml:space="preserve">const RouteDefinition* FindRoute(product, uint32_t id)</t>
  </si>
  <si>
    <t xml:space="preserve">— (only ProductContext::FindRoute(id) tested via map, not this linear-scan free fn directly)</t>
  </si>
  <si>
    <t xml:space="preserve">Unknown id; routeCount==0; routes==nullptr</t>
  </si>
  <si>
    <t xml:space="preserve">const DataItemDefinition* FindDataItem(product, string_view name)</t>
  </si>
  <si>
    <t xml:space="preserve">ProductDefinitionLookupTest.FindExistingDataItem</t>
  </si>
  <si>
    <t xml:space="preserve">Name not found; empty dataItems array</t>
  </si>
  <si>
    <t xml:space="preserve">const DataItemDefinition* FindDataItem(product, RIDataId id)</t>
  </si>
  <si>
    <t xml:space="preserve">ProductDefinitionLookupTest.FindErrorList (also used internally in ValidateProductDefinition tests)</t>
  </si>
  <si>
    <t xml:space="preserve">Unknown id (as free fn, not via ProductContext's O(1) map path — different code path than ProductContextTest.UnknownDataReturnsNull)</t>
  </si>
  <si>
    <t xml:space="preserve">const CapabilityItemDefinition* FindCapability(product, string_view name)</t>
  </si>
  <si>
    <t xml:space="preserve">ProductDefinitionLookupTest.FindExistingCapability</t>
  </si>
  <si>
    <t xml:space="preserve">Name not found</t>
  </si>
  <si>
    <t xml:space="preserve">const CapabilityItemDefinition* FindCapability(product, RICapabilityId id)</t>
  </si>
  <si>
    <t xml:space="preserve">ProductDefinitionLookupTest.FindCapabilityById</t>
  </si>
  <si>
    <t xml:space="preserve">Unknown id; capabilityCount==0</t>
  </si>
  <si>
    <t xml:space="preserve">const FacadeItemDefinition* FindFacade(product, string_view name)</t>
  </si>
  <si>
    <t xml:space="preserve">Not exercised by any assigned test file (facade tests live in test/unit/capability/FacadeManagerTest.cpp — out of this group's scope)</t>
  </si>
  <si>
    <t xml:space="preserve">Not-found name; empty facades array; note this is the renamed "FindPipeline" the task spec expected</t>
  </si>
  <si>
    <t xml:space="preserve">const FacadeItemDefinition* FindFacade(product, RIFacadeId id)</t>
  </si>
  <si>
    <t xml:space="preserve">Same as above</t>
  </si>
  <si>
    <t xml:space="preserve">Unknown id</t>
  </si>
  <si>
    <t xml:space="preserve">const RouteDefinition* GetRoutes(product)</t>
  </si>
  <si>
    <t xml:space="preserve">Not directly asserted in assigned files; only used internally by ProductContext ctor and RouteProvider::Initialize</t>
  </si>
  <si>
    <t xml:space="preserve">product.routes==nullptr with routeCount&gt;0 (mismatch); routeCount==0 returning valid-but-unused pointer</t>
  </si>
  <si>
    <t xml:space="preserve">size_t GetRouteCount(product)</t>
  </si>
  <si>
    <t xml:space="preserve">Not directly asserted</t>
  </si>
  <si>
    <t xml:space="preserve">—</t>
  </si>
  <si>
    <t xml:space="preserve">const CapabilityItemDefinition* GetCapabilities(product)</t>
  </si>
  <si>
    <t xml:space="preserve">ProductDefinitionLookupTest.EnumerateCapabilities (checks non-null + count&gt;0)</t>
  </si>
  <si>
    <t xml:space="preserve">capabilityCount==0 / nullptr pointer combination</t>
  </si>
  <si>
    <t xml:space="preserve">size_t GetCapabilityCount(product)</t>
  </si>
  <si>
    <t xml:space="preserve">ProductDefinitionLookupTest.EnumerateCapabilities</t>
  </si>
  <si>
    <t xml:space="preserve">const FacadeItemDefinition* GetFacades(product)</t>
  </si>
  <si>
    <t xml:space="preserve">Not tested in assigned files</t>
  </si>
  <si>
    <t xml:space="preserve">facadeCount==0; nullptr facades with facadeCount&gt;0</t>
  </si>
  <si>
    <t xml:space="preserve">size_t GetFacadeCount(product)</t>
  </si>
  <si>
    <t xml:space="preserve">const DataItemDefinition* GetDataItems(product)</t>
  </si>
  <si>
    <t xml:space="preserve">ProductDefinitionLookupTest.EnumerateDataItems</t>
  </si>
  <si>
    <t xml:space="preserve">dataItemCount==0</t>
  </si>
  <si>
    <t xml:space="preserve">size_t GetDataItemCount(product)</t>
  </si>
  <si>
    <t xml:space="preserve">const DomainDefinition* GetDomains(product)</t>
  </si>
  <si>
    <t xml:space="preserve">ProductDefinitionLookupTest.EnumerateDomains</t>
  </si>
  <si>
    <t xml:space="preserve">domainCount==0</t>
  </si>
  <si>
    <t xml:space="preserve">size_t GetDomainCount(product)</t>
  </si>
  <si>
    <t xml:space="preserve">bool ValidateProductDefinition(product)</t>
  </si>
  <si>
    <t xml:space="preserve">ProductDefinitionTest.PrinterAProductDefinitionIsValid</t>
  </si>
  <si>
    <t xml:space="preserve">ProductDefinitionTest.RejectDuplicateDomain (dup domain name); RejectDuplicateCapability (dup capability *name*, despite test's title suggesting id); RejectDuplicateDataItemName; RejectDuplicateDataItemId; RejectDuplicateCapabilityId; RejectDataItemWithUnknownRoute (dataItem.routeId not in routes)</t>
  </si>
  <si>
    <t xml:space="preserve">DataItem.domain pointer whose name isn't present in product.domains (the `if (!FindDomain(...)) return false;` branch — currently untested); DataItem.domain==nullptr (explicit early-return branch, untested); Capability.requiredDataIds referencing an unknown DataId (untested); Facade duplicate name; Facade duplicate id; Facade.requiredCapabilityIds referencing unknown capability id — none of the Facade-validation branches have any test coverage at all</t>
  </si>
  <si>
    <t xml:space="preserve">Product/ProductContext</t>
  </si>
  <si>
    <t xml:space="preserve">ProductContext</t>
  </si>
  <si>
    <t xml:space="preserve">ProductContext(const ProductDefinition&amp;) [ctor]</t>
  </si>
  <si>
    <t xml:space="preserve">Exercised as fixture setup in ProductContextTest, RouteResolverTest, AdapterDispatcherTest, DataStoreWorkerTest, RouteExecutorTest — but never directly asserted on its own</t>
  </si>
  <si>
    <t xml:space="preserve">Construct with a fully empty ProductDefinition (all nullptr/0) — verify no crash and GetDataItems()==nullptr; construct with duplicate DataItem/Capability ids (constructor doesn't call ValidateProductDefinition, so unordered_map::emplace silently keeps the first and drops the duplicate — currently unverified/undocumented behavior)</t>
  </si>
  <si>
    <t xml:space="preserve">const DataDomainMap&amp; DataDomains() const</t>
  </si>
  <si>
    <t xml:space="preserve">Not asserted in assigned files</t>
  </si>
  <si>
    <t xml:space="preserve">const CapabilityRequiredDomainMap&amp; CapabilityDomains() const</t>
  </si>
  <si>
    <t xml:space="preserve">const FacadeRequiredCapabilityMap&amp; FacadeCapabilities() const</t>
  </si>
  <si>
    <t xml:space="preserve">const CapabilityDependencyMap&amp; CapabilityDependencies() const</t>
  </si>
  <si>
    <t xml:space="preserve">const FacadeDependencyMap&amp; FacadeDependencies() const</t>
  </si>
  <si>
    <t xml:space="preserve">const DataItemDefinition* FindDataItem(RIDataId) const</t>
  </si>
  <si>
    <t xml:space="preserve">ProductContextTest.FindDataItemById; ProductContextTest.RepeatedLookupReturnsSamePointer</t>
  </si>
  <si>
    <t xml:space="preserve">ProductContextTest.UnknownDataReturnsNull (id=0xFFFFFFFF not found → nullptr)</t>
  </si>
  <si>
    <t xml:space="preserve">Also used pervasively as a dependency of AdapterDispatcher::Dispatch and DataStoreWorker::Process — already covered by those callers' own not-found tests</t>
  </si>
  <si>
    <t xml:space="preserve">std::vector&lt;string_view&gt; GetDomains() const</t>
  </si>
  <si>
    <t xml:space="preserve">Not directly asserted (constructor uses it internally)</t>
  </si>
  <si>
    <t xml:space="preserve">Empty domains_ returns empty vector — untested</t>
  </si>
  <si>
    <t xml:space="preserve">const RouteDefinition* GetRoutes() const</t>
  </si>
  <si>
    <t xml:space="preserve">Not directly asserted; used internally by RouteProvider::Initialize</t>
  </si>
  <si>
    <t xml:space="preserve">routes_.empty() → returns nullptr (explicit ternary branch) — untested</t>
  </si>
  <si>
    <t xml:space="preserve">size_t GetRouteCount() const</t>
  </si>
  <si>
    <t xml:space="preserve">RouteExecutorTest.RouteProviderCreatesQueueForEveryRouteDefinition (compares to routeProvider.GetQueues().size())</t>
  </si>
  <si>
    <t xml:space="preserve">const DataItemDefinition* GetDataItems() const</t>
  </si>
  <si>
    <t xml:space="preserve">dataItems_.empty() → nullptr branch — untested</t>
  </si>
  <si>
    <t xml:space="preserve">size_t GetDataItemCount() const</t>
  </si>
  <si>
    <t xml:space="preserve">const CapabilityItemDefinition* GetCapabilities() const</t>
  </si>
  <si>
    <t xml:space="preserve">Not directly asserted (capability tests out of scope)</t>
  </si>
  <si>
    <t xml:space="preserve">capabilities_.empty() → nullptr branch</t>
  </si>
  <si>
    <t xml:space="preserve">size_t GetCapabilityCount() const</t>
  </si>
  <si>
    <t xml:space="preserve">const CapabilityItemDefinition* FindCapability(RICapabilityId) const</t>
  </si>
  <si>
    <t xml:space="preserve">ProductContextTest.FindCapabilityById</t>
  </si>
  <si>
    <t xml:space="preserve">Unknown capability id → nullptr (parallel test to FindDataItem's UnknownDataReturnsNull doesn't exist for this method)</t>
  </si>
  <si>
    <t xml:space="preserve">DomainId FindDataDomainId(RIDataId) const</t>
  </si>
  <si>
    <t xml:space="preserve">Used/asserted in DataStoreWorkerTest.UpdatePartitionStorage / StoreErrorList / RouteExecutorTest.ProcessItemFromRouteQueue (asserts result != kInvalidDomainId)</t>
  </si>
  <si>
    <t xml:space="preserve">Unknown/unmapped data id → kInvalidDomainId return path is never explicitly exercised with an assertion that this happens (DataStoreWorker::Process silently drops such items — no test proves that drop-on-invalid-domain behavior)</t>
  </si>
  <si>
    <t xml:space="preserve">DomainId FindCapabilityDomainId(RICapabilityId) const</t>
  </si>
  <si>
    <t xml:space="preserve">Not tested in assigned files (only in capability/ layer tests, out of scope)</t>
  </si>
  <si>
    <t xml:space="preserve">Unknown capability id → kInvalidDomainId</t>
  </si>
  <si>
    <t xml:space="preserve">const FacadeItemDefinition* FindFacade(RIFacadeId) const</t>
  </si>
  <si>
    <t xml:space="preserve">Unknown facade id → nullptr</t>
  </si>
  <si>
    <t xml:space="preserve">DomainId FindFacadeDomainId(RIFacadeId) const</t>
  </si>
  <si>
    <t xml:space="preserve">Unknown facade id → kInvalidDomainId</t>
  </si>
  <si>
    <t xml:space="preserve">const RouteDefinition* FindRoute(uint32_t routeId) const</t>
  </si>
  <si>
    <t xml:space="preserve">RouteResolverTest.ResolveCapabilityRoute; RouteResolverTest.ResolveDataRoute</t>
  </si>
  <si>
    <t xml:space="preserve">Unknown routeId → nullptr (never asserted)</t>
  </si>
  <si>
    <t xml:space="preserve">const RouteDefinition* ResolveRoute(const NotificationTarget&amp;) const</t>
  </si>
  <si>
    <t xml:space="preserve">Not tested in any assigned file (tested only in test/unit/capability/CapabilityWorkerTest.cpp — out of this group's scope)</t>
  </si>
  <si>
    <t xml:space="preserve">target.type == Data/Capability/Facade but id not found (each has its own early nullptr return — untested here); default/invalid NotificationTargetType enum value (falls to `default: return nullptr;`) — untested</t>
  </si>
  <si>
    <t xml:space="preserve">Product/RouteProvider</t>
  </si>
  <si>
    <t xml:space="preserve">RouteProvider</t>
  </si>
  <si>
    <t xml:space="preserve">void Initialize(const ProductContext&amp;)</t>
  </si>
  <si>
    <t xml:space="preserve">AdapterDispatcherFixture ctor (AdapterDispatcherTest.*); RouteExecutorTest.RouteProviderCreatesQueueForEveryRouteDefinition</t>
  </si>
  <si>
    <t xml:space="preserve">Re-calling Initialize() a second time on the same instance (queues_.clear()/routingTable_.clear() then rebuild) — dangling `RouteQueues*` risk for anyone holding a pointer from before; DataItemDefinition.routeId referencing a route that doesn't exist triggers `assert(route != nullptr)` — crashes in debug builds, untested; empty ProductDefinition (routeCount==0, dataItemCount==0)</t>
  </si>
  <si>
    <t xml:space="preserve">RouteQueues* Find(RIDataId) const</t>
  </si>
  <si>
    <t xml:space="preserve">AdapterDispatcherTest.DispatchNormalizesAndPushesToRouteQueue (found path); RouteExecutorTest.ProcessItemFromRouteQueue (via GetQueues().find)</t>
  </si>
  <si>
    <t xml:space="preserve">AdapterDispatcherTest.DispatchRejectsUnregisteredDataId (explicitly asserts Find(unregisteredId) == nullptr)</t>
  </si>
  <si>
    <t xml:space="preserve">Call Find() before Initialize() has ever run (empty routingTable_)</t>
  </si>
  <si>
    <t xml:space="preserve">const auto&amp; GetQueues() const</t>
  </si>
  <si>
    <t xml:space="preserve">RouteExecutorTest.* (iterates/looks up "ValueRoute"); RIM_api Initialize-style usage in rim_api.cpp</t>
  </si>
  <si>
    <t xml:space="preserve">— (trivial getter)</t>
  </si>
  <si>
    <t xml:space="preserve">Product/RouteExecutor</t>
  </si>
  <si>
    <t xml:space="preserve">RouteExecutor</t>
  </si>
  <si>
    <t xml:space="preserve">RouteExecutor(ctx, queues, domainStore, capabilityManager, facadeManager, publisherQueue, capSnapshotProvider, facadeSnapshotProvider)</t>
  </si>
  <si>
    <t xml:space="preserve">RouteExecutorTest.RouteExecutorCountMatchesRouteCount; RouteExecutorTest.ProcessItemFromRouteQueue</t>
  </si>
  <si>
    <t xml:space="preserve">Construct with a RouteQueues whose storeQueue/capabilityQueue unique_ptrs are null (e.g. from QueueFactory::Create returning {} for an unhandled QueuePolicy) — dereferenced immediately in DataStoreWorker/CapabilityWorker ctors, likely UB/crash, untested</t>
  </si>
  <si>
    <t xml:space="preserve">~RouteExecutor()</t>
  </si>
  <si>
    <t xml:space="preserve">Only exercised implicitly at scope-exit of test fixtures; no explicit destruction-behavior assertion</t>
  </si>
  <si>
    <t xml:space="preserve">Verify destructor safely calls Stop() when Start() was never called; verify no double-join crash</t>
  </si>
  <si>
    <t xml:space="preserve">void Start()</t>
  </si>
  <si>
    <t xml:space="preserve">Not called anywhere in RouteExecutorTest.cpp (tests use ExecuteOnce() directly instead of the threaded path); Start() is exercised end-to-end via RIM_Start in capi/e2e tests, not as a RouteExecutor-level unit test</t>
  </si>
  <si>
    <t xml:space="preserve">Calling Start() twice in a row (starts two worker threads concurrently reading the same queue — no guard in RouteExecutor::Start itself, unlike DataStoreWorker::start which checks running_); Start() then immediately Stop() race</t>
  </si>
  <si>
    <t xml:space="preserve">void Stop()</t>
  </si>
  <si>
    <t xml:space="preserve">Not called directly in RouteExecutorTest.cpp</t>
  </si>
  <si>
    <t xml:space="preserve">Stop() without prior Start(); Stop() called twice (guarded by stopped_ flag internally — untested that the guard actually prevents double-join)</t>
  </si>
  <si>
    <t xml:space="preserve">bool ExecuteOnce()</t>
  </si>
  <si>
    <t xml:space="preserve">RouteExecutorTest.ProcessItemFromRouteQueue</t>
  </si>
  <si>
    <t xml:space="preserve">ExecuteOnce() on an empty store queue (dataStoreWorker_-&gt;ExecuteOnce() returns false → short-circuits before touching capabilityWorker_) — untested; case where dataStoreWorker succeeds but capabilityWorker_-&gt;ExecuteOnce() returns false (partial-completion return value) — untested</t>
  </si>
  <si>
    <t xml:space="preserve">Common/Queue</t>
  </si>
  <si>
    <t xml:space="preserve">EventQueue&lt;T,Policy&gt;</t>
  </si>
  <si>
    <t xml:space="preserve">bool Push(const T&amp;)</t>
  </si>
  <si>
    <t xml:space="preserve">AdapterDispatcherTest.* (via storeQueue-&gt;Push indirectly through Dispatch); DataStoreWorkerTest.* (queues.storeQueue-&gt;Push(item) explicit); RouteExecutorTest.ProcessItemFromRouteQueue</t>
  </si>
  <si>
    <t xml:space="preserve">Push-after-Shutdown-returns-false is tested only in test/unit/publisher/PublisherInputQueueTest.cpp and test/unit/capability/CapabilityInputQueueTest.cpp — both outside this group's assigned test file list</t>
  </si>
  <si>
    <t xml:space="preserve">Push() after Shutdown() returns false (proven pattern exists elsewhere but not for the RIMDataItem/CapabilityInput instantiations used by this group)</t>
  </si>
  <si>
    <t xml:space="preserve">bool TryPop(T&amp;)</t>
  </si>
  <si>
    <t xml:space="preserve">AdapterDispatcherTest.DispatchNormalizesAndPushesToRouteQueue; DataStoreWorkerTest.* (queues.capabilityQueue-&gt;TryPop)</t>
  </si>
  <si>
    <t xml:space="preserve">AdapterDispatcherTest.DispatchNormalizesAndPushesToRouteQueue (extra TryPop after queue drained → EXPECT_FALSE); DataStoreWorkerTest.NoNotificationWhenUnchanged / SameBinaryDoesNotNotifyAgain (TryPop on capabilityQueue expected to fail because no notification was pushed)</t>
  </si>
  <si>
    <t xml:space="preserve">bool WaitAndPop(T&amp;)</t>
  </si>
  <si>
    <t xml:space="preserve">Not exercised for RIMDataItem/CapabilityInput queues in this group's assigned files (real thread path only used via DataStoreWorker::start()/WorkerLoop, which isn't exercised by DataStoreWorkerTest.cpp — all tests call ExecuteOnce/TryPop instead)</t>
  </si>
  <si>
    <t xml:space="preserve">Blocking pop unblocked by Shutdown() with empty queue → returns false; concurrent Push from another thread while blocked in WaitAndPop</t>
  </si>
  <si>
    <t xml:space="preserve">bool WaitAndPopFor(T&amp;, milliseconds)</t>
  </si>
  <si>
    <t xml:space="preserve">Not exercised in assigned files</t>
  </si>
  <si>
    <t xml:space="preserve">Timeout elapses with nothing pushed → returns false; item arrives just before timeout</t>
  </si>
  <si>
    <t xml:space="preserve">void Shutdown()</t>
  </si>
  <si>
    <t xml:space="preserve">Not exercised in assigned files (DataStoreWorker::stop() calls queue_.Shutdown() but DataStoreWorkerTest.cpp never calls start()/stop(), only ExecuteOnce())</t>
  </si>
  <si>
    <t xml:space="preserve">Shutdown() called twice (idempotency); Shutdown() while another thread is blocked in WaitAndPop</t>
  </si>
  <si>
    <t xml:space="preserve">QueueFactory</t>
  </si>
  <si>
    <t xml:space="preserve">static unique_ptr&lt;IQueue&lt;T&gt;&gt; Create&lt;T&gt;(QueuePolicy)</t>
  </si>
  <si>
    <t xml:space="preserve">DataStoreWorkerTest.* / RouteExecutorTest.* construct queues via QueueFactory::Create&lt;RIMDataItem&gt;(QueuePolicy::Buffered) and QueueFactory::Create&lt;CapabilityInput&gt;(QueuePolicy::Buffered)</t>
  </si>
  <si>
    <t xml:space="preserve">QueuePolicy::Coalescing branch (never exercised by any assigned test — all use Buffered); an unhandled/future policy value (e.g. the commented-out Priority/PriorityCompression cases) falls through to `return {};` — a null unique_ptr that RouteProvider::Initialize immediately asserts non-null against — untested</t>
  </si>
  <si>
    <t xml:space="preserve">Common/Value</t>
  </si>
  <si>
    <t xml:space="preserve">RIMValueFactory</t>
  </si>
  <si>
    <t xml:space="preserve">static RIMValue CreateBool(bool)</t>
  </si>
  <si>
    <t xml:space="preserve">Not directly tested in RIMValueFactoryTest.cpp; correctness implicitly relied upon by DataStoreWorkerTest.GenerateSnapshotEvent/UpdatePartitionStorage, RIManagerValueApiTest.SetAndGetBool</t>
  </si>
  <si>
    <t xml:space="preserve">No dedicated RIMValueFactoryTest case at all for CreateBool — add one asserting .type==kBool and .value.b matches input for both true/false</t>
  </si>
  <si>
    <t xml:space="preserve">static RIMValue CreateInt32(int32_t)</t>
  </si>
  <si>
    <t xml:space="preserve">AdapterDispatcherTest.* (ScaleByTen/NarrowToUInt32 dummy normalizers consume it and assertions check resulting value via RIMValueAccessor::GetInt32); RIManagerValueApiTest.SetAndGetInt32</t>
  </si>
  <si>
    <t xml:space="preserve">No dedicated RIMValueFactoryTest case; boundary values (INT32_MIN/MAX) untested</t>
  </si>
  <si>
    <t xml:space="preserve">static RIMValue CreateUInt32(uint32_t)</t>
  </si>
  <si>
    <t xml:space="preserve">AdapterDispatcherTest.DispatchStoresNormalizedValueWithDefinitionSetValueType (via NarrowToUInt32, checked with RIMValueAccessor::GetUInt32)</t>
  </si>
  <si>
    <t xml:space="preserve">No dedicated RIMValueFactoryTest case; boundary value UINT32_MAX</t>
  </si>
  <si>
    <t xml:space="preserve">static RIMValue CreateInt64(int64_t)</t>
  </si>
  <si>
    <t xml:space="preserve">Not used/tested anywhere in the current repo (grep found zero call sites outside the factory itself)</t>
  </si>
  <si>
    <t xml:space="preserve">Completely uncovered — needs at least a basic construction test; also boundary values</t>
  </si>
  <si>
    <t xml:space="preserve">static RIMValue CreateUInt64(uint64_t)</t>
  </si>
  <si>
    <t xml:space="preserve">Same — zero call sites anywhere in repo</t>
  </si>
  <si>
    <t xml:space="preserve">Completely uncovered</t>
  </si>
  <si>
    <t xml:space="preserve">static RIMValue CreateDouble(double)</t>
  </si>
  <si>
    <t xml:space="preserve">NormalizationFunctionTest.TemperatureSensorA (via NormalizeTemperatureSensorA); RIManagerValueApiTest.SetAndGetDouble</t>
  </si>
  <si>
    <t xml:space="preserve">No dedicated RIMValueFactoryTest case; NaN/Infinity/negative-zero double values untested</t>
  </si>
  <si>
    <t xml:space="preserve">static RIMValue CreateString(const char*)</t>
  </si>
  <si>
    <t xml:space="preserve">Not used/tested anywhere in the current repo (zero call sites found)</t>
  </si>
  <si>
    <t xml:space="preserve">Completely uncovered; nullptr string pointer isn't guarded by CreateString at all — worth a test to document/verify current (likely unsafe) behavior</t>
  </si>
  <si>
    <t xml:space="preserve">static RIMValue CreateBinary(const uint8_t*, size_t)</t>
  </si>
  <si>
    <t xml:space="preserve">RIMValueFactoryTest.CreateBinary (direct, dedicated test); also NormalizationFunctionTest.IdentityBinary, DataStoreWorkerTest.StoreErrorList*</t>
  </si>
  <si>
    <t xml:space="preserve">nullptr bytes with non-zero size; non-null bytes with size==0; the fact that CreateBinary stores the raw pointer (no copy) is a known sharp edge — a test for "caller buffer freed/reused after CreateBinary but before consumption" would document lifetime requirements</t>
  </si>
  <si>
    <t xml:space="preserve">static RIMValue CreateBinaryInput(...)</t>
  </si>
  <si>
    <t xml:space="preserve">Does not exist in the current codebase (present only in old_0818/old_0820/core/storage/include/RIMValueFactory.hpp)</t>
  </si>
  <si>
    <t xml:space="preserve">Not applicable — flag to requester that this method was removed/renamed away from RIMValueFactory in the current tree</t>
  </si>
  <si>
    <t xml:space="preserve">Store</t>
  </si>
  <si>
    <t xml:space="preserve">DataStoreWorker</t>
  </si>
  <si>
    <t xml:space="preserve">DataStoreWorker(ctx, queue, domainStore, capabilityQueue) [ctor]</t>
  </si>
  <si>
    <t xml:space="preserve">Constructed in every DataStoreWorkerTest case</t>
  </si>
  <si>
    <t xml:space="preserve">~DataStoreWorker()</t>
  </si>
  <si>
    <t xml:space="preserve">Only implicit at test scope-exit; not explicitly asserted</t>
  </si>
  <si>
    <t xml:space="preserve">Destructor calling stop() when start() was never called</t>
  </si>
  <si>
    <t xml:space="preserve">void start()</t>
  </si>
  <si>
    <t xml:space="preserve">Not called in DataStoreWorkerTest.cpp (all tests use ExecuteOnce() directly, bypassing the real worker thread)</t>
  </si>
  <si>
    <t xml:space="preserve">start() called twice (guarded by running_ flag — untested that the guard works); thread actually processes items pushed concurrently (true multithreaded test, currently absent)</t>
  </si>
  <si>
    <t xml:space="preserve">void stop()</t>
  </si>
  <si>
    <t xml:space="preserve">Not called directly in DataStoreWorkerTest.cpp</t>
  </si>
  <si>
    <t xml:space="preserve">stop() called twice (guarded by running_ — untested); stop() without start() (no-op path)</t>
  </si>
  <si>
    <t xml:space="preserve">DataStoreWorkerTest.GenerateSnapshotEvent; UpdatePartitionStorage; StoreErrorList; StoreErrorListCopiesBinaryData (verifies deep-copy of binary payload, not just pointer aliasing)</t>
  </si>
  <si>
    <t xml:space="preserve">DataStoreWorkerTest.NoNotificationWhenUnchanged (identical bool value pushed twice → DefaultDiff-equivalent suppresses 2nd capability notification); SameBinaryDoesNotNotifyAgain (same content, different buffer → BinaryHash short-circuit suppresses notify); BinaryHashChangedNotifiesAgain (same size, changed content → notifies); BinarySizeChangedNotifiesAgain (size changed → notifies)</t>
  </si>
  <si>
    <t xml:space="preserve">ExecuteOnce() on an empty queue → should return false, untested (`if (!queue_.TryPop(item)) return false;` branch); item.id not present in ProductContext (definition==nullptr → silent early return, no store, no notify) — untested; item.id present but FindDataDomainId returns kInvalidDomainId (early return) — untested; item for a data item whose `diff` field is nullptr on first-vs-second write (always notifies, since `exists &amp;&amp; definition-&gt;diff != nullptr` gate is skipped) — untested</t>
  </si>
  <si>
    <t xml:space="preserve">StoreFunctions.hpp</t>
  </si>
  <si>
    <t xml:space="preserve">RIMValue IdentityStore(const RIMValue&amp;, const RIMValue&amp; setValue, const void*)</t>
  </si>
  <si>
    <t xml:space="preserve">No test exists or is needed as written — this header is not `#include`d by any current product definition (printer_a uses products/common/CommonStoreFunctions.hpp's IdentityStore instead)</t>
  </si>
  <si>
    <t xml:space="preserve">Confirm whether this file is intentionally kept for future products or should be removed; if kept, a trivial unit test (input passthrough) would still be cheap insurance</t>
  </si>
  <si>
    <t xml:space="preserve">DiffFunctions.hpp</t>
  </si>
  <si>
    <t xml:space="preserve">bool DefaultDiff(const RIMValue&amp; lhs, const RIMValue&amp; rhs)</t>
  </si>
  <si>
    <t xml:space="preserve">Not included/used anywhere in the current tree (printer_a uses CommonDiffFunctions.hpp's IdentityDiff instead); relies on memcmp over the whole RIMValue struct, which is unsafe for pointer-bearing types (kString/kBinary) since padding/pointer-identity would affect the comparison — no test exercises this at all</t>
  </si>
  <si>
    <t xml:space="preserve">If retained, needs tests for: two RIMValues with equal binary content but different backing pointers (would incorrectly report "changed" via memcmp of the pointer field) — a good example why the DataStoreWorker's real logic avoids using this for kBinary</t>
  </si>
  <si>
    <t xml:space="preserve">C-API</t>
  </si>
  <si>
    <t xml:space="preserve">rim_api.cpp</t>
  </si>
  <si>
    <t xml:space="preserve">const char* RIM_GetProductName(void)</t>
  </si>
  <si>
    <t xml:space="preserve">RIMApiTest.GetProductNameReturnsExpectedName</t>
  </si>
  <si>
    <t xml:space="preserve">No !g_context guard exists at all — behavior when called before RIM_Create() is unverified (currently probably fine since it reads static ProductInfo, not g_context, but untested)</t>
  </si>
  <si>
    <t xml:space="preserve">RIStatus RIM_GetVersionInfo(RIM_VERSION_INFO*)</t>
  </si>
  <si>
    <t xml:space="preserve">RIMApiTest.GetVersionInfoReturnsCurrentVersion</t>
  </si>
  <si>
    <t xml:space="preserve">RIMApiTest.GetVersionInfoReturnsInvalidParameterWhenNullptr</t>
  </si>
  <si>
    <t xml:space="preserve">Call before RIM_Create() (also has no g_context check — same as above, unverified)</t>
  </si>
  <si>
    <t xml:space="preserve">const char* RIM_GetVersionString(void)</t>
  </si>
  <si>
    <t xml:space="preserve">RIMApiTest.GetVersionStringReturnsExpectedString</t>
  </si>
  <si>
    <t xml:space="preserve">No params/failure path; N/A</t>
  </si>
  <si>
    <t xml:space="preserve">int RIM_Create(void)</t>
  </si>
  <si>
    <t xml:space="preserve">Implicitly via every ASSERT_EQ(RIM_Create(), RI_SUCCESS) call across RIManagerErrorListApiTest.* and RIManagerValueApiTest.*</t>
  </si>
  <si>
    <t xml:space="preserve">Calling RIM_Create() twice in a row without Destroy (idempotent early-return `if (g_context) return RI_SUCCESS;` — untested that state isn't corrupted/leaked); Create → Destroy → Create cycle (re-init) untested</t>
  </si>
  <si>
    <t xml:space="preserve">int RIM_Destroy(void)</t>
  </si>
  <si>
    <t xml:space="preserve">Implicitly via teardown in RIManagerErrorListApiTest.* / RIManagerValueApiTest.* (asserted RI_SUCCESS)</t>
  </si>
  <si>
    <t xml:space="preserve">RIM_Destroy() called without a prior RIM_Create() → should return RI_NOT_INITIALIZED, untested; RIM_Destroy() called twice in a row (2nd call should hit the `!g_context` branch) — untested</t>
  </si>
  <si>
    <t xml:space="preserve">int RIM_Start(void)</t>
  </si>
  <si>
    <t xml:space="preserve">RIManagerValueApiTest.SetAndGetBool/Int32/Double; RIManagerErrorListApiTest.SetAndGetErrorList</t>
  </si>
  <si>
    <t xml:space="preserve">RIM_Start() without RIM_Create() → RI_NOT_INITIALIZED, untested; RIM_Start() called twice in a row (re-Start already-running route executors/workers) untested</t>
  </si>
  <si>
    <t xml:space="preserve">int RIM_Stop(void)</t>
  </si>
  <si>
    <t xml:space="preserve">RIManagerValueApiTest.SetAndGetBool/Int32/Double</t>
  </si>
  <si>
    <t xml:space="preserve">RIM_Stop() without RIM_Create() → RI_NOT_INITIALIZED, untested; RIM_Stop() called twice in a row untested</t>
  </si>
  <si>
    <t xml:space="preserve">CapabilityAccessor* RIM_GetCapabilityAccessor(void)</t>
  </si>
  <si>
    <t xml:space="preserve">Not tested in any assigned file (used internally by RIM_GetCapabilityBool/Int32/Double, and indirectly relied on by e2e tests only)</t>
  </si>
  <si>
    <t xml:space="preserve">Call before RIM_Create() → should/does return nullptr (`if (!g_context) return nullptr;`) — untested; note this function isn't declared in the current include/rim_api.h at all, unlike in old_0818/old_0820</t>
  </si>
  <si>
    <t xml:space="preserve">FacadeAccessor* RIM_GetFacadeAccessor(void)</t>
  </si>
  <si>
    <t xml:space="preserve">Not tested anywhere in the assigned or broader test suite that was checked</t>
  </si>
  <si>
    <t xml:space="preserve">Same as above: not-yet-created state → nullptr; also not declared in include/rim_api.h, so currently unreachable to external callers of the public header</t>
  </si>
  <si>
    <t xml:space="preserve">RIStatus RIM_SubscribeCapability(RICapabilityId, RINotificationCallback, uint64_t*)</t>
  </si>
  <si>
    <t xml:space="preserve">Not tested in any assigned unit test file (only exercised in test/e2e/EndToEndCApiCallbackTest.cpp, outside this group's scope)</t>
  </si>
  <si>
    <t xml:space="preserve">!g_context (not initialized); callback==nullptr; subscriptionId==nullptr — all three branches implemented but none unit-tested</t>
  </si>
  <si>
    <t xml:space="preserve">RIStatus RIM_Subscribe(const RI_SUBSCRIPTION_REQUEST*, uint64_t*)</t>
  </si>
  <si>
    <t xml:space="preserve">Not tested in any assigned unit test file (only in e2e tests)</t>
  </si>
  <si>
    <t xml:space="preserve">!g_context; request==nullptr; subscriptionId==nullptr; unknown/out-of-range request-&gt;targetType or request-&gt;method enum values (cast without validation via static_cast)</t>
  </si>
  <si>
    <t xml:space="preserve">RIStatus RIM_GetNotification(uint64_t, rim_notification_message_t*)</t>
  </si>
  <si>
    <t xml:space="preserve">Not tested in any assigned unit test file</t>
  </si>
  <si>
    <t xml:space="preserve">notificationMessage==nullptr is checked, but note: this function has no `!g_context` guard at all, unlike every sibling API — calling it before RIM_Create() dereferences a null `g_context` unique_ptr (`g_context-&gt;receiver...`) and is a likely crash bug; a regression test for "call before Create" is high priority; also subscriptionId not found (RI_NO_DATA path)</t>
  </si>
  <si>
    <t xml:space="preserve">uint32_t RIM_GetMailboxCount(uint64_t)</t>
  </si>
  <si>
    <t xml:space="preserve">!g_context → returns 0U (implemented, untested); unknown subscriptionId</t>
  </si>
  <si>
    <t xml:space="preserve">RIStatus RIM_GetBool(RIDataId, int*)</t>
  </si>
  <si>
    <t xml:space="preserve">RIManagerValueApiTest.SetAndGetBool</t>
  </si>
  <si>
    <t xml:space="preserve">RIManagerValueApiTest.GetBoolNullValue (nullptr value ptr)</t>
  </si>
  <si>
    <t xml:space="preserve">Call before RIM_Create() → RI_NOT_INITIALIZED, untested; dataId never set → RI_NO_DATA via TryReadDataItem failing, untested; dataId that resolves to a non-bool stored value → RI_INTERNAL_ERROR via RIMValueAccessor::GetBool failing, untested</t>
  </si>
  <si>
    <t xml:space="preserve">RIStatus RIM_SetBool(RIDataId, int)</t>
  </si>
  <si>
    <t xml:space="preserve">Call before RIM_Create() → RI_NOT_INITIALIZED, untested; unregistered/invalid dataId → RI_INVALID_PARAMETER via dispatcher-&gt;Dispatch returning false, untested</t>
  </si>
  <si>
    <t xml:space="preserve">RIStatus RIM_GetInt32(RIDataId, int32_t*)</t>
  </si>
  <si>
    <t xml:space="preserve">RIManagerValueApiTest.SetAndGetInt32</t>
  </si>
  <si>
    <t xml:space="preserve">RIManagerValueApiTest.GetInt32NullValue</t>
  </si>
  <si>
    <t xml:space="preserve">Call before Create; dataId not yet set (RI_NO_DATA); type mismatch (RI_INTERNAL_ERROR) — all untested</t>
  </si>
  <si>
    <t xml:space="preserve">RIStatus RIM_SetInt32(RIDataId, int32_t)</t>
  </si>
  <si>
    <t xml:space="preserve">Call before Create; unregistered dataId → RI_INVALID_PARAMETER — untested</t>
  </si>
  <si>
    <t xml:space="preserve">RIStatus RIM_GetDouble(RIDataId, double*)</t>
  </si>
  <si>
    <t xml:space="preserve">RIManagerValueApiTest.SetAndGetDouble</t>
  </si>
  <si>
    <t xml:space="preserve">RIManagerValueApiTest.GetDoubleNullValue</t>
  </si>
  <si>
    <t xml:space="preserve">Call before Create; not-yet-set dataId; type mismatch — untested</t>
  </si>
  <si>
    <t xml:space="preserve">RIStatus RIM_SetDouble(RIDataId, double)</t>
  </si>
  <si>
    <t xml:space="preserve">RIStatus RIM_GetBinary(RIDataId, RI_BINARY*)</t>
  </si>
  <si>
    <t xml:space="preserve">Indirectly via RIManagerErrorListApiTest.SetAndGetErrorList → PrinterA_GetErrorList → GetStruct → RIM_GetBinary</t>
  </si>
  <si>
    <t xml:space="preserve">binary==nullptr direct test (currently only exercised indirectly, since PrinterA_GetErrorList's own null-check for `list` prevents reaching RIM_GetBinary(nullptr,...) directly); dataId not yet set → RI_NO_DATA; bytes==nullptr-but-success-from-accessor path (`if (bytes == nullptr) return RI_NO_DATA;`) — untested; call before Create</t>
  </si>
  <si>
    <t xml:space="preserve">RIStatus RIM_SetBinary(RIDataId, const void*, size_t)</t>
  </si>
  <si>
    <t xml:space="preserve">Indirectly via RIManagerErrorListApiTest.SetAndGetErrorList → PrinterA_SetErrorList → SetStruct → RIM_SetBinary</t>
  </si>
  <si>
    <t xml:space="preserve">data==nullptr direct test (implemented `if (data==nullptr||size==0U) return RI_INVALID_PARAMETER;`, but never hit directly because PrinterA_SetErrorList's own nullptr guard intercepts first); size==0 direct test; call before Create; unregistered dataId</t>
  </si>
  <si>
    <t xml:space="preserve">RIStatus RIM_GetCapabilityBool(RICapabilityId, int*)</t>
  </si>
  <si>
    <t xml:space="preserve">capability==nullptr; accessor==nullptr (not yet created); capability id not found (RI_NO_DATA); type mismatch (RI_INTERNAL_ERROR) — all implemented, none unit-tested here</t>
  </si>
  <si>
    <t xml:space="preserve">RIStatus RIM_GetCapabilityInt32(RICapabilityId, int32_t*)</t>
  </si>
  <si>
    <t xml:space="preserve">Same four branches as above, untested</t>
  </si>
  <si>
    <t xml:space="preserve">RIStatus RIM_GetCapabilityDouble(RICapabilityId, double*)</t>
  </si>
  <si>
    <t xml:space="preserve">printer_a.cpp</t>
  </si>
  <si>
    <t xml:space="preserve">RIStatus PrinterA_SetErrorList(const RI_FAULT_INFO_LIST*)</t>
  </si>
  <si>
    <t xml:space="preserve">RIManagerErrorListApiTest.SetAndGetErrorList</t>
  </si>
  <si>
    <t xml:space="preserve">RIManagerErrorListApiTest.SetErrorListNullList (nullptr list)</t>
  </si>
  <si>
    <t xml:space="preserve">Call before RIM_Create() (SetStruct→RIM_SetBinary would hit !g_context, untested at this wrapper level); list-&gt;count exceeding the fixed RI_FAULT_INFO_LIST entries array capacity (never validated — whole struct is memcpy'd via SetStruct's sizeof(T), so an oversized/garbage count field is stored as-is)</t>
  </si>
  <si>
    <t xml:space="preserve">RIStatus PrinterA_GetErrorList(RI_FAULT_INFO_LIST*)</t>
  </si>
  <si>
    <t xml:space="preserve">RIManagerErrorListApiTest.GetErrorListNullList (nullptr list)</t>
  </si>
  <si>
    <t xml:space="preserve">Call before any SetErrorList has ever run → RI_NO_DATA via TryReadDataItem, untested; call before RIM_Create(); GetStruct's own internal check `binary.size != sizeof(T) → RI_INTERNAL_ERROR` (stored binary payload of unexpected size) — completely untested edge in the template helper</t>
  </si>
  <si>
    <t xml:space="preserve">Storage</t>
  </si>
  <si>
    <t xml:space="preserve">PartitionStorage</t>
  </si>
  <si>
    <t xml:space="preserve">void Store(const RIMDataItem&amp;)</t>
  </si>
  <si>
    <t xml:space="preserve">PartitionStorageTest.StoreAndGet, PartitionStorageTest.OverwriteValue, PartitionStorageRegistryTest.StoreItemsInDifferentDomains</t>
  </si>
  <si>
    <t xml:space="preserve">PartitionStorageTest.OverwriteValue (overwrite same id); PartitionStorageThreadTest.ConcurrentWrite, PartitionStorageThreadTest.ReadWrite (concurrent access)</t>
  </si>
  <si>
    <t xml:space="preserve">Store kBinary item where `RIMValueAccessor::GetBinary` fails despite type==kBinary (malformed value; internal `binaries_` not updated but `items_` still holds original raw pointer/size — possible dangling data); overwrite a previously-binary id with a non-binary value and verify `binaries_.erase` actually removed the stale binary entry (currently untested); store with size 0 binary buffer</t>
  </si>
  <si>
    <t xml:space="preserve">bool Find(StorageItemId, RIMDataItem&amp;) const</t>
  </si>
  <si>
    <t xml:space="preserve">PartitionStorageTest.StoreAndGet</t>
  </si>
  <si>
    <t xml:space="preserve">PartitionStorageTest.UnknownData (not found); PartitionStorageThreadTest.ConcurrentRead, ReadWrite (concurrent access)</t>
  </si>
  <si>
    <t xml:space="preserve">Find immediately after erase-via-overwrite-type-change; Find on id 0 / max uint32 boundary id</t>
  </si>
  <si>
    <t xml:space="preserve">std::vector&lt;RIMDataItem&gt; GetAll() const</t>
  </si>
  <si>
    <t xml:space="preserve">PartitionStorageTest.GetAllReturnsStoredItems</t>
  </si>
  <si>
    <t xml:space="preserve">GetAll() on empty (never-stored) storage should return empty vector — not explicitly asserted</t>
  </si>
  <si>
    <t xml:space="preserve">bool GetBinaryHash(RIDataId, uint64_t&amp;) const</t>
  </si>
  <si>
    <t xml:space="preserve">PartitionStorageTest.GetBinaryHash, PartitionStorageTest.BinaryHashChangesWhenDataChanges</t>
  </si>
  <si>
    <t xml:space="preserve">GetBinaryHash for unknown/never-stored id → should return false (no test exists, unlike GetBinaryInfoUnknownReturnsFalse); GetBinaryHash for an id present in `items_` but non-binary type (never entered `binaries_`) — should return false, not crash</t>
  </si>
  <si>
    <t xml:space="preserve">bool GetBinaryInfo(RIDataId, BinaryInfo&amp;) const</t>
  </si>
  <si>
    <t xml:space="preserve">PartitionStorageTest.GetBinaryInfo</t>
  </si>
  <si>
    <t xml:space="preserve">PartitionStorageTest.GetBinaryInfoUnknownReturnsFalse (not found)</t>
  </si>
  <si>
    <t xml:space="preserve">GetBinaryInfo for id that was binary then overwritten to non-binary (erased)</t>
  </si>
  <si>
    <t xml:space="preserve">PartitionStorageRegistry</t>
  </si>
  <si>
    <t xml:space="preserve">PartitionStorage&amp; GetOrCreate(DomainId)</t>
  </si>
  <si>
    <t xml:space="preserve">PartitionStorageRegistryTest.GetOrCreateReturnsSameStorage, DifferentDomainsReturnDifferentStorage</t>
  </si>
  <si>
    <t xml:space="preserve">Concurrent GetOrCreate() from multiple threads for the same new domain id (verify only one PartitionStorage instance is created, no race in `storages_[id]` construction); GetOrCreate with DomainId 0 / kInvalidDomainId</t>
  </si>
  <si>
    <t xml:space="preserve">const PartitionStorage* Find(DomainId) const</t>
  </si>
  <si>
    <t xml:space="preserve">PartitionStorageRegistryTest.FindReturnsExistingStorage</t>
  </si>
  <si>
    <t xml:space="preserve">PartitionStorageRegistryTest.FindUnknownReturnsNullptr (not found)</t>
  </si>
  <si>
    <t xml:space="preserve">Find() concurrently with GetOrCreate() creating new domains</t>
  </si>
  <si>
    <t xml:space="preserve">std::vector&lt;DomainId&gt; GetDomainIds() const</t>
  </si>
  <si>
    <t xml:space="preserve">GetDomainIds on empty registry returns empty vector; GetDomainIds after several GetOrCreate calls returns exactly those ids with no duplicates — currently completely untested</t>
  </si>
  <si>
    <t xml:space="preserve">bool FindData(DomainId, RIDataId, RIMDataItem&amp;) const</t>
  </si>
  <si>
    <t xml:space="preserve">FindData with unknown domainId (registry lookup fails, path A); FindData with known domain but unknown dataId (delegate Find fails, path B) — both untested; currently zero coverage of this method</t>
  </si>
  <si>
    <t xml:space="preserve">GetAll() across multiple domains aggregates correctly; GetAll() on empty registry returns empty vector — untested entirely</t>
  </si>
  <si>
    <t xml:space="preserve">void Dump() const</t>
  </si>
  <si>
    <t xml:space="preserve">Dump() with empty registry (no domains); Dump() with each ValueType variant (bool/int32/uint32/int64/uint64/double/string incl. null string pointer/binary) to ensure no crash on the `str ? str : "(null)"` branch and default case for unhandled types — entirely untested (stdout side-effect, hard to unit test as-is)</t>
  </si>
  <si>
    <t xml:space="preserve">DataDomainMap</t>
  </si>
  <si>
    <t xml:space="preserve">DataDomainMap(const ProductDefinition&amp;)</t>
  </si>
  <si>
    <t xml:space="preserve">DataDomainMapTest.ExistingDataReturnsDomain (and used as setup in many other tests)</t>
  </si>
  <si>
    <t xml:space="preserve">ProductDefinition with dataItemCount==0 (empty map); two different dataIds sharing the same DomainDefinition pointer should map to the identical DomainId (dedup logic in ctor) — not directly asserted; verify domain-id assignment order stability isn't required by any caller</t>
  </si>
  <si>
    <t xml:space="preserve">DomainId Find(RIDataId) const</t>
  </si>
  <si>
    <t xml:space="preserve">DataDomainMapTest.ExistingDataReturnsDomain, SameDomainReturnsSameDomainId</t>
  </si>
  <si>
    <t xml:space="preserve">DataDomainMapTest.UnknownDataReturnsInvalidDomain (not found)</t>
  </si>
  <si>
    <t xml:space="preserve">Find with RIDataId 0 (potential sentinel value)</t>
  </si>
  <si>
    <t xml:space="preserve">CapabilityRequiredDomainMap</t>
  </si>
  <si>
    <t xml:space="preserve">CapabilityRequiredDomainMap(const ProductDefinition&amp;)</t>
  </si>
  <si>
    <t xml:space="preserve">CapabilityRequiredDomainMapTest.ExistingCapabilityReturnsDomains</t>
  </si>
  <si>
    <t xml:space="preserve">CapabilityRequiredDomainMapTest.DomainsAreUnique (duplicate-domain dedup via `std::find` guard)</t>
  </si>
  <si>
    <t xml:space="preserve">Capability whose `requiredDataIds` reference a dataId with `kInvalidDomainId` (unmapped data) — ctor's `continue` path skips it; not explicitly verified that such a capability's domain list excludes the invalid entry; capability with requiredDataCount==0 (empty domains list, distinct from "unknown capability" case)</t>
  </si>
  <si>
    <t xml:space="preserve">const vector&lt;DomainId&gt;&amp; Find(RICapabilityId) const</t>
  </si>
  <si>
    <t xml:space="preserve">CapabilityRequiredDomainMapTest.UnknownCapabilityReturnsEmpty (not found, returns static empty vector)</t>
  </si>
  <si>
    <t xml:space="preserve">Verify repeated Find() calls on unknown id return the *same* static empty vector reference (no allocation) — a robustness/perf nuance not tested</t>
  </si>
  <si>
    <t xml:space="preserve">FacadeRequiredCapabilityMap</t>
  </si>
  <si>
    <t xml:space="preserve">FacadeRequiredCapabilityMap(const ProductDefinition&amp;)</t>
  </si>
  <si>
    <t xml:space="preserve">Entirely untested. Note: real domain-resolution logic is currently commented out (stub only copies raw ids, no dedup, no invalid-id filtering unlike CapabilityRequiredDomainMap) — suggest: facade with requiredCapabilityCount==0; facade with duplicate requiredCapabilityIds (no dedup currently — should verify whether duplicates are intentionally allowed)</t>
  </si>
  <si>
    <t xml:space="preserve">const vector&lt;RICapabilityId&gt;&amp; GetRequiredCapabilities(RIFacadeId) const</t>
  </si>
  <si>
    <t xml:space="preserve">Unknown facadeId returns empty static vector (mirrors CapabilityRequiredDomainMap::Find but totally untested); existing facadeId returns expected list — no test at all</t>
  </si>
  <si>
    <t xml:space="preserve">BinaryEntry</t>
  </si>
  <si>
    <t xml:space="preserve">void Set(const uint8_t*, size_t)</t>
  </si>
  <si>
    <t xml:space="preserve">BinaryEntryTest.SetCopiesBuffer, SetCalculatesHash</t>
  </si>
  <si>
    <t xml:space="preserve">BinaryEntryTest.SetUpdatesHashWhenDataChanges (re-Set with different data; borderline normal/edge)</t>
  </si>
  <si>
    <t xml:space="preserve">Set(nullptr, 0) — empty binary; Set called twice with identical data (hash should be stable/equal, not just "changes when data changes"); very large buffer (stress/allocation)</t>
  </si>
  <si>
    <t xml:space="preserve">Snapshot</t>
  </si>
  <si>
    <t xml:space="preserve">SnapshotBuilder (ambiguous duplicate header, see note above)</t>
  </si>
  <si>
    <t xml:space="preserve">SnapshotBuilder(const PartitionStorageRegistry&amp;)</t>
  </si>
  <si>
    <t xml:space="preserve">Untested directly in any listed unit test (only implicitly constructed as a member of `SnapshotAccessor` in AccessorFacadeTest, never exercised)</t>
  </si>
  <si>
    <t xml:space="preserve">SnapshotBuilder (ambiguous duplicate header)</t>
  </si>
  <si>
    <t xml:space="preserve">RIMSnapshot Build(const vector&lt;DomainId&gt;&amp;) const</t>
  </si>
  <si>
    <t xml:space="preserve">Build with domain id not present in registry (`store_.Find` returns nullptr → `continue`, silently skipped) — this exact behavior is unverified by any listed unit test; Build with empty domains vector → empty snapshot; Build with duplicate domain ids in input vector → items duplicated in output (may or may not be intended)</t>
  </si>
  <si>
    <t xml:space="preserve">RIMSnapshot</t>
  </si>
  <si>
    <t xml:space="preserve">bool Find(RIDataId, RIMDataItem&amp;) const</t>
  </si>
  <si>
    <t xml:space="preserve">RIMSnapshotTest.FindExistingItem</t>
  </si>
  <si>
    <t xml:space="preserve">RIMSnapshotTest.ReturnFalseWhenNotFound</t>
  </si>
  <si>
    <t xml:space="preserve">Find on snapshot with duplicate ids in `items` (linear scan returns first match only — not verified)</t>
  </si>
  <si>
    <t xml:space="preserve">bool TryGetDouble(RIDataId, double&amp;) const</t>
  </si>
  <si>
    <t xml:space="preserve">RIMSnapshotTest.TryGetDouble</t>
  </si>
  <si>
    <t xml:space="preserve">TryGetDouble on missing id (delegates to Find failing); TryGetDouble on an existing id whose stored value is NOT a double (type mismatch — `RIMValueAccessor::GetDouble` should return false)</t>
  </si>
  <si>
    <t xml:space="preserve">bool TryGetBool(RIDataId, bool&amp;) const</t>
  </si>
  <si>
    <t xml:space="preserve">Completely untested: normal case (bool value present) and abnormal (missing id, wrong value type)</t>
  </si>
  <si>
    <t xml:space="preserve">bool TryGetInt32(RIDataId, int32_t&amp;) const</t>
  </si>
  <si>
    <t xml:space="preserve">Completely untested: normal case (int32 present) and abnormal (missing id, wrong value type e.g. calling on a double/binary item)</t>
  </si>
  <si>
    <t xml:space="preserve">bool TryGetBinary(RIDataId, const uint8_t*&amp;, size_t&amp;) const</t>
  </si>
  <si>
    <t xml:space="preserve">RIMSnapshotTest.TryGetBinary</t>
  </si>
  <si>
    <t xml:space="preserve">TryGetBinary on missing id; TryGetBinary on existing id whose value is not kBinary type</t>
  </si>
  <si>
    <t xml:space="preserve">Not implementable as-is — declared in header but no `.cpp` defines it anywhere in the repo; calling/testing it would be a link error. Flag for either implementation or removal before writing tests</t>
  </si>
  <si>
    <t xml:space="preserve">IRIMSnapshotReader</t>
  </si>
  <si>
    <t xml:space="preserve">virtual RIMSnapshot Read() const = 0</t>
  </si>
  <si>
    <t xml:space="preserve">Pure virtual interface with no concrete implementation found anywhere in the current tree (grep for `: IRIMSnapshotReader` / `public IRIMSnapshotReader` returns nothing). Cannot be unit tested until/unless a concrete implementer exists; flag as dead interface or check capability/publisher layers (out of this group's scope) for a hidden implementer</t>
  </si>
  <si>
    <t xml:space="preserve">Accessor</t>
  </si>
  <si>
    <t xml:space="preserve">AccessorFacade</t>
  </si>
  <si>
    <t xml:space="preserve">AccessorFacade(DataAccessor&amp;, CapabilityAccessor&amp;)</t>
  </si>
  <si>
    <t xml:space="preserve">AccessorFacadeTest fixture ctor</t>
  </si>
  <si>
    <t xml:space="preserve">No failure paths exist (plain reference binding) — no abnormal scenario applicable beyond misuse (e.g., passing accessors backed by different stores/contexts than expected by callers), which is a design/contract concern not enforceable in code</t>
  </si>
  <si>
    <t xml:space="preserve">DataAccessor&amp; Data()</t>
  </si>
  <si>
    <t xml:space="preserve">AccessorFacadeTest.ExposeDataAccessor (checks non-null only)</t>
  </si>
  <si>
    <t xml:space="preserve">Verify returned reference is identity-equal to the exact `dataAccessor` passed to constructor (test only checks non-null, not identity/aliasing)</t>
  </si>
  <si>
    <t xml:space="preserve">const DataAccessor&amp; Data() const</t>
  </si>
  <si>
    <t xml:space="preserve">Const overload never exercised by any test (test only holds a non-const `facade`)</t>
  </si>
  <si>
    <t xml:space="preserve">CapabilityAccessor&amp; Capability()</t>
  </si>
  <si>
    <t xml:space="preserve">AccessorFacadeTest.ExposeCapabilityAccessor (non-null only)</t>
  </si>
  <si>
    <t xml:space="preserve">Same identity-check gap as Data()</t>
  </si>
  <si>
    <t xml:space="preserve">const CapabilityAccessor&amp; Capability() const</t>
  </si>
  <si>
    <t xml:space="preserve">Const overload never exercised</t>
  </si>
  <si>
    <t xml:space="preserve">CapabilityAccessor</t>
  </si>
  <si>
    <t xml:space="preserve">CapabilityAccessor(store, context)</t>
  </si>
  <si>
    <t xml:space="preserve">Used throughout CapabilityAccessorTest</t>
  </si>
  <si>
    <t xml:space="preserve">bool TryGet(RICapabilityId, RIMValue&amp;) const</t>
  </si>
  <si>
    <t xml:space="preserve">CapabilityAccessorTest.GetEnvironmentCapability, GetPrintReadyCapability, RepeatedReadReturnsSameValue, OverwriteCapability, EnvironmentCapabilityStoresExpectedState, PrintReadyCapabilityStoresExpectedState, EnvironmentValueTypeIsInt32, PrintReadyValueTypeIsBool</t>
  </si>
  <si>
    <t xml:space="preserve">CapabilityAccessorTest.ReturnFalseWhenCapabilityNotFound (capability never stored — but domain likely never created, i.e. `store_.Find` returns nullptr path)</t>
  </si>
  <si>
    <t xml:space="preserve">Three distinct false-paths in the implementation are not individually distinguished by tests: (1) capabilityId unknown to `context_.FindCapabilityDomainId` (kInvalidDomainId) — genuinely invalid capability id; (2) domain resolved but `store_.Find(domainId)` returns nullptr because that domain's storage was never created via GetOrCreate; (3) domain+storage exist but this specific capability item was never `Store`d. Only case (2)/(3)-ish is currently exercised</t>
  </si>
  <si>
    <t xml:space="preserve">DataAccessor</t>
  </si>
  <si>
    <t xml:space="preserve">DataAccessor(store, context)</t>
  </si>
  <si>
    <t xml:space="preserve">Used throughout DataAccessorTest</t>
  </si>
  <si>
    <t xml:space="preserve">bool TryGetData(RIDataId, RIMDataItem&amp;) const</t>
  </si>
  <si>
    <t xml:space="preserve">DataAccessorTest.GetData</t>
  </si>
  <si>
    <t xml:space="preserve">DataAccessorTest.ReturnFalseWhenDataNotFound (unknown RIDataId → kInvalidDomainId path)</t>
  </si>
  <si>
    <t xml:space="preserve">Distinguish "domain resolved but storage never created" (`store_.Find` nullptr) vs. "storage exists but item not yet stored" (`storage-&gt;Find` false) — neither is separately tested from the "unknown id entirely" case</t>
  </si>
  <si>
    <t xml:space="preserve">bool TryGetDomain(RIDataId, string_view&amp;) const</t>
  </si>
  <si>
    <t xml:space="preserve">DataAccessorTest.GetDomain</t>
  </si>
  <si>
    <t xml:space="preserve">DataAccessorTest.ReturnFalseWhenDomainNotFound (definition==nullptr for unknown id)</t>
  </si>
  <si>
    <t xml:space="preserve">vector&lt;string_view&gt; GetDomains() const</t>
  </si>
  <si>
    <t xml:space="preserve">DataAccessorTest.EnumerateDomains, EnumeratedDomainsContainTemperatureDomain</t>
  </si>
  <si>
    <t xml:space="preserve">GetDomains() on a ProductContext/definition with zero data items → should return empty vector, untested</t>
  </si>
  <si>
    <t xml:space="preserve">Zero coverage — neither normal (existing binary item hash retrieval through the accessor) nor abnormal (unknown id, non-binary id, domain-never-created) is tested, despite the underlying `PartitionStorage::GetBinaryHash` being partly tested at the storage layer</t>
  </si>
  <si>
    <t xml:space="preserve">DataAccessorTest.GetBinaryInfo</t>
  </si>
  <si>
    <t xml:space="preserve">DataAccessorTest.GetBinaryInfoUnknownReturnsFalse (id known to product but never stored)</t>
  </si>
  <si>
    <t xml:space="preserve">Test an entirely unknown RIDataId not defined in the product definition at all (kInvalidDomainId path) — current abnormal test uses a real, defined id that's simply unstored, so the "invalid domain" branch (`domainId == kInvalidDomainId`) is not separately exercised</t>
  </si>
  <si>
    <t xml:space="preserve">FacadeAccessor</t>
  </si>
  <si>
    <t xml:space="preserve">FacadeAccessor(store, context)</t>
  </si>
  <si>
    <t xml:space="preserve">Entirely untested — no test file in the repo references FacadeAccessor at all</t>
  </si>
  <si>
    <t xml:space="preserve">bool TryGet(RIFacadeId, RIMValue&amp;) const</t>
  </si>
  <si>
    <t xml:space="preserve">Completely untested: normal (facade value present), and all 3 false-paths mirroring CapabilityAccessor::TryGet (unknown facadeId, domain never created, item never stored)</t>
  </si>
  <si>
    <t xml:space="preserve">SnapshotAccessor</t>
  </si>
  <si>
    <t xml:space="preserve">SnapshotAccessor(store, context)</t>
  </si>
  <si>
    <t xml:space="preserve">Constructed as a member in AccessorFacadeTest fixture, but never exercised via a call</t>
  </si>
  <si>
    <t xml:space="preserve">RIMSnapshot CreateSnapshot(const vector&lt;DomainId&gt;&amp;) const</t>
  </si>
  <si>
    <t xml:space="preserve">Never actually invoked by any listed unit test. Suggest: normal — single domain and multi-domain snapshot aggregation; abnormal — empty domains vector, domain id not present in registry (silently skipped per SnapshotBuilder::Build), duplicate domain ids in input</t>
  </si>
  <si>
    <t xml:space="preserve">CapabilityChangeSet</t>
  </si>
  <si>
    <t xml:space="preserve">bool Empty() const</t>
  </si>
  <si>
    <t xml:space="preserve">— (struct appears unused/dead code — never populated by CapabilityManager/CapabilityWorker; only `#include`d, no writer of `changedCapabilities` found anywhere in non-archived code)</t>
  </si>
  <si>
    <t xml:space="preserve">Default-constructed set returns Empty()==true; after push_back returns false. Also flag as an architecture question: is this struct dead code, or is it meant to be populated somewhere (currently nothing populates it)?</t>
  </si>
  <si>
    <t xml:space="preserve">FacadeDependencyMap / FacadeChangeSet</t>
  </si>
  <si>
    <t xml:space="preserve">`bool Empty() const` (FacadeChangeSet)</t>
  </si>
  <si>
    <t xml:space="preserve">— (same as CapabilityChangeSet: no production writer found; likely unused)</t>
  </si>
  <si>
    <t xml:space="preserve">Same as above: verify Empty() semantics directly; confirm whether it's dead code.</t>
  </si>
  <si>
    <t xml:space="preserve">CapabilityDependencyMap</t>
  </si>
  <si>
    <t xml:space="preserve">`CapabilityDependencyMap(const ProductDefinition&amp; product)` (ctor)</t>
  </si>
  <si>
    <t xml:space="preserve">CapabilityDependencyMapTest.ExistingDataReturnsCapability (builds map from `kPrinterAProductDefinition` and validates lookup works)</t>
  </si>
  <si>
    <t xml:space="preserve">Product definition with `capabilityCount == 0` (empty map); a capability with `requiredDataCount == 0` (never reachable via Find); two capabilities sharing the same `requiredDataId` (verify both land in the same bucket, order preserved); a capability listing the same dataId twice in its own `requiredDataIds`.</t>
  </si>
  <si>
    <t xml:space="preserve">const std::vector&lt;const CapabilityItemDefinition*&gt;&amp; Find(RIDataId dataId) const</t>
  </si>
  <si>
    <t xml:space="preserve">CapabilityDependencyMapTest.ExistingDataReturnsCapability</t>
  </si>
  <si>
    <t xml:space="preserve">CapabilityDependencyMapTest.UnknownDataReturnsEmpty — arbitrary unknown id `0xFFFFFFFF` returns empty vector via static `kEmpty`</t>
  </si>
  <si>
    <t xml:space="preserve">Explicit `RI_INVALID_DATA_ID` / `RI_DATA_UNKNOWN` sentinel (as opposed to an arbitrary bogus value); calling `Find` repeatedly to confirm returned reference is stable (no dangling since it's a function-local static / map-owned vector).</t>
  </si>
  <si>
    <t xml:space="preserve">CapabilityInput</t>
  </si>
  <si>
    <t xml:space="preserve">RIDataId CompressionKey() const</t>
  </si>
  <si>
    <t xml:space="preserve">Not exercised directly — `CapabilityInputQueueTest.CoalescingKeepsLatestItem` uses `EventQueue&lt;RIMDataItem, CoalescingPolicy&gt;`, NOT `CapabilityInput`; the `CapabilityInput` tests (PushPop/WaitAndPop/Shutdown) use `FifoPolicy`, which likely never calls `CompressionKey()`</t>
  </si>
  <si>
    <t xml:space="preserve">Test `EventQueue&lt;CapabilityInput, CoalescingPolicy&gt;` directly to confirm coalescing keys off `changedDataId`; default-constructed `CapabilityInput` (id = `RI_INVALID_DATA_ID`) — confirm `CompressionKey()` returns that sentinel. This is a real coverage gap: the coalescing behavior is only proven for `RIMDataItem`, not for the type CapabilityWorker actually consumes.</t>
  </si>
  <si>
    <t xml:space="preserve">CapabilityManager</t>
  </si>
  <si>
    <t xml:space="preserve">`CapabilityManager(PartitionStorageRegistry&amp;, const ProductContext&amp;)` (ctor, header-inline)</t>
  </si>
  <si>
    <t xml:space="preserve">Constructed in every CapabilityManagerTest / CapabilityWorkerFixture test</t>
  </si>
  <si>
    <t xml:space="preserve">ProductContext whose `CapabilityDependencies()` is empty/default (degenerate product) — verify manager still constructs and `Evaluate` is a no-op-safe.</t>
  </si>
  <si>
    <t xml:space="preserve">bool Evaluate(const RIMSnapshot&amp; snapshot, const CapabilityItemDefinition* capability)</t>
  </si>
  <si>
    <t xml:space="preserve">CapabilityManagerTest.GenerateEnvironmentCapability, GeneratePrintReadyCapability, EnvironmentStateChangesGeneratesChange</t>
  </si>
  <si>
    <t xml:space="preserve">CapabilityManagerTest.SameEnvironmentValueDoesNotGenerateChange / SamePrintReadyValueDoesNotGenerateChange (diff says unchanged → returns false, no re-store); MissingHumidityDoesNotThrow (snapshot missing one required data item → build callback defaults missing field to 0, `EXPECT_NO_THROW`); HumidityChangesButCapabilityStateUnchanged (raw input changed but derived state/diff unchanged → false)</t>
  </si>
  <si>
    <t xml:space="preserve">`capability` id not registered in `ProductContext` → `FindCapabilityDomainId` returns `kInvalidDomainId` → method should return false without storing (this exact early-return branch is never hit by any test); completely empty snapshot (`items` empty) rather than partially missing; `capability == nullptr` (would dereference and crash — no defensive test/guard); previously-stored value has a mismatched `ValueType` vs the new build result (diff callback given inconsistent types); concurrent calls to `Evaluate` for the same capability from two threads (class holds no internal locking).</t>
  </si>
  <si>
    <t xml:space="preserve">CapabilitySnapshotProvider</t>
  </si>
  <si>
    <t xml:space="preserve">`CapabilitySnapshotProvider(const CapabilitySnapshotResolver&amp;, const SnapshotAccessor&amp;)` (ctor)</t>
  </si>
  <si>
    <t xml:space="preserve">Constructed in all CapabilitySnapshotProviderTest cases</t>
  </si>
  <si>
    <t xml:space="preserve">n/a (trivial reference-binding ctor).</t>
  </si>
  <si>
    <t xml:space="preserve">RIMSnapshot Create(RICapabilityId changedDataId) const override</t>
  </si>
  <si>
    <t xml:space="preserve">CapabilitySnapshotProviderTest.CreateEnvironmentSnapshot, ReturnsAllItemsInCapabilityDomain, CollectItemsFromMultipleDomains</t>
  </si>
  <si>
    <t xml:space="preserve">CapabilitySnapshotProviderTest.UnknownCapabilityReturnsEmptySnapshot — `RI_INVALID_DATA_ID` passed as capability id → resolver returns no domains → empty snapshot, no throw</t>
  </si>
  <si>
    <t xml:space="preserve">A *valid, registered* capability id whose required-data domain exists in the map but the underlying `PartitionStorage` for that domain was never created/populated (`store.GetOrCreate` never called for it) — i.e. legitimate "no initial value" case, not just an invalid id; a capability requiring data spread across a domain that was created but has zero items stored.</t>
  </si>
  <si>
    <t xml:space="preserve">CapabilitySnapshotResolver</t>
  </si>
  <si>
    <t xml:space="preserve">`CapabilitySnapshotResolver(const ProductContext&amp;)` (ctor)</t>
  </si>
  <si>
    <t xml:space="preserve">Constructed in every CapabilitySnapshotProviderTest</t>
  </si>
  <si>
    <t xml:space="preserve">n/a (trivial).</t>
  </si>
  <si>
    <t xml:space="preserve">std::vector&lt;DomainId&gt; ResolveSnapshotDomains(RICapabilityId capabilityId) const</t>
  </si>
  <si>
    <t xml:space="preserve">Exercised only through CapabilitySnapshotProviderTest.Create* tests (no test constructs `CapabilitySnapshotResolver` directly and asserts on the returned domain vector)</t>
  </si>
  <si>
    <t xml:space="preserve">Exercised via CapabilitySnapshotProviderTest.UnknownCapabilityReturnsEmptySnapshot (through provider, not resolver directly)</t>
  </si>
  <si>
    <t xml:space="preserve">No dedicated unit test exists for this class in isolation. Add: direct test constructing `CapabilitySnapshotResolver` and calling `ResolveSnapshotDomains` for a known id (assert domain list contents) and an unknown id (assert empty) without going through the provider; a capability that spans multiple domains (verify all returned, no duplicates, order is deterministic).</t>
  </si>
  <si>
    <t xml:space="preserve">CapabilityWorker</t>
  </si>
  <si>
    <t xml:space="preserve">`CapabilityWorker(IQueue&lt;CapabilityInput&gt;&amp;, CapabilityManager&amp;, FacadeManager&amp;, PublisherInputQueue&amp;, const ICapabilitySnapshotProvider&amp;, const IFacadeSnapshotProvider&amp;, const ProductContext&amp;)` (ctor)</t>
  </si>
  <si>
    <t xml:space="preserve">Constructed once per test via `CapabilityWorkerFixture`</t>
  </si>
  <si>
    <t xml:space="preserve">n/a (reference-binding ctor).</t>
  </si>
  <si>
    <t xml:space="preserve">~CapabilityWorker()</t>
  </si>
  <si>
    <t xml:space="preserve">Never explicitly exercised with a running thread — fixture is destroyed after tests but `start()` is never called in any test, so destructor's `stop()`→`queue_.Shutdown()`→`join()` path with an actually-running `WorkerLoop` thread is untested</t>
  </si>
  <si>
    <t xml:space="preserve">Destroy a `CapabilityWorker` after `start()` was called and the thread is blocked in `queue_.WaitAndPop` — verify clean shutdown/join with no hang or crash; destroy immediately after construction without ever starting (already implicitly OK since `running_` false short-circuits `stop()`).</t>
  </si>
  <si>
    <t xml:space="preserve">Not called anywhere in the unit test suite (only `ExecuteOnce()` is used, which is the synchronous single-shot path)</t>
  </si>
  <si>
    <t xml:space="preserve">Double-call `start()` twice in a row (method already guards with `if (running_) return;` — untested); verify `WorkerLoop` actually processes items pushed to the real queue end-to-end on a background thread; verify thread safety of `CapabilityManager`/`FacadeManager`/`PartitionStorageRegistry` access from the worker thread while a test thread also reads the store.</t>
  </si>
  <si>
    <t xml:space="preserve">Not called anywhere directly (implicitly invoked via destructor, but destructor path is also untested since `start()` never called first)</t>
  </si>
  <si>
    <t xml:space="preserve">Call `stop()` when not running (guarded early-return — untested); call `stop()` from a different thread than `start()` while a `WaitAndPop` is in flight — verify `Shutdown()` unblocks it and thread joins without deadlock.</t>
  </si>
  <si>
    <t xml:space="preserve">Nearly every CapabilityWorkerTest test (GenerateEnvironmentCapability, GeneratePrintReadyCapability, GenerateEnvironmentReadyFacade, GenerateOperationReadyFacade, NotificationOrderIsDataCapabilityFacade, DataNotificationInheritsRouteCompressionPolicy, etc. — all via the `Execute()` fixture helper)</t>
  </si>
  <si>
    <t xml:space="preserve">CapabilityWorkerTest.ExecuteOnceReturnsFalseWhenQueueEmpty (queue empty → returns false, no processing); MissingRequiredDataDoesNotCrash (only temperature set, humidity never stored anywhere → `EXPECT_NO_THROW`, exercises the full pipeline's handling of a dependency that was never Set, i.e. no initial value); CapabilityWorkerFixture.Process internally short-circuits on `RI_INVALID_DATA_ID` (private, not directly tested but implied safe)</t>
  </si>
  <si>
    <t xml:space="preserve">`changedDataId == RI_INVALID_DATA_ID` pushed onto the real queue and popped via `ExecuteOnce` (currently `Process` guards this internally but no test pushes an actually-invalid id through the queue — all direct `Process` guard testing is indirect/untested); a `changedDataId` that maps to zero capabilities (dependency map miss) — verify only the Data notification is published and nothing else; a chain where a derived capability (not a raw DataItem) has never been computed when a dependent facade is evaluated — see note below, this happens silently in `GenerateOperationReadyFacade`/`OperationReadyFacadeChangesWhenEnvironmentBecomesNotReady` but the intermediate premature evaluation result is drained/discarded, never asserted.</t>
  </si>
  <si>
    <t xml:space="preserve">FacadeDependencyMap</t>
  </si>
  <si>
    <t xml:space="preserve">`FacadeDependencyMap(const ProductDefinition&amp; product)` (ctor)</t>
  </si>
  <si>
    <t xml:space="preserve">No dedicated `FacadeDependencyMapTest.cpp` exists (unlike the capability-side equivalent); constructed only inside `ProductContext` and exercised transitively via CapabilityWorkerTest facade-notification tests</t>
  </si>
  <si>
    <t xml:space="preserve">Add a dedicated `FacadeDependencyMapTest` mirroring `CapabilityDependencyMapTest`: `facadeCount == 0`; a facade with `requiredCapabilityCount == 0`; a capability id required by two facades (already implicitly true for `RI_CAPABILITY_ENVIRONMENT` → both `EnvironmentReady` and `OperationReady`, but never asserted directly against the map).</t>
  </si>
  <si>
    <t xml:space="preserve">const std::vector&lt;const FacadeItemDefinition*&gt;&amp; Find(RICapabilityId capabilityId) const</t>
  </si>
  <si>
    <t xml:space="preserve">Indirectly via CapabilityWorkerTest (worker calls `productContext_.FacadeDependencies().Find(...)` inside `PublishFacadeChanges`)</t>
  </si>
  <si>
    <t xml:space="preserve">No unit test calls `Find` with an unknown/unregistered capability id directly and asserts empty vector (unlike the capability-side `CapabilityDependencyMapTest.UnknownDataReturnsEmpty`) — direct-unit-test gap.</t>
  </si>
  <si>
    <t xml:space="preserve">FacadeManager</t>
  </si>
  <si>
    <t xml:space="preserve">`FacadeManager(PartitionStorageRegistry&amp;, const ProductContext&amp;)` (ctor)</t>
  </si>
  <si>
    <t xml:space="preserve">Constructed in every FacadeManagerTest test and CapabilityWorkerFixture</t>
  </si>
  <si>
    <t xml:space="preserve">bool Evaluate(const RIMSnapshot&amp; snapshot, const FacadeItemDefinition* facade)</t>
  </si>
  <si>
    <t xml:space="preserve">FacadeManagerTest.GenerateEnvironmentReadyTrueFromState0/State1, GenerateEnvironmentReadyFalseFromState2, OperationReadyTrueWithEnvironment0AndPrintReadyTrue, OperationReadyTrueWithEnvironment1AndPrintReadyTrue, EnvironmentReadyStateChangeGeneratesChange, OperationReadyValueChangeGeneratesChange</t>
  </si>
  <si>
    <t xml:space="preserve">FacadeManagerTest.SameEnvironmentReadyValueDoesNotGenerateChange / SameOperationReadyValueDoesNotGenerateChange (unchanged diff → false); MissingEnvironmentCapabilityDoesNotThrow / MissingCapabilitiesForOperationReadyDoesNotThrow (empty snapshot → defaults used, `EXPECT_NO_THROW` — this is the "dependency never Set" scenario at the Manager level); OperationReadyFalseWhenPrintReadyFalse, OperationReadyFalseWhenEnvironment2 (combined boolean-logic edge branches)</t>
  </si>
  <si>
    <t xml:space="preserve">`facade` id not registered → `FindFacadeDomainId` returns `kInvalidDomainId` → should return false without storing (untested branch, mirrors the CapabilityManager gap); partial-missing case where only ONE of the two required capabilities (e.g. only `PRINT_READY` missing, `ENVIRONMENT` present) is absent, isolating which `TryGet` fails, vs. the fully-empty-snapshot tests that exist today; `facade == nullptr`; stored old value with mismatched `ValueType`.</t>
  </si>
  <si>
    <t xml:space="preserve">FacadeSnapshotProvider</t>
  </si>
  <si>
    <t xml:space="preserve">`FacadeSnapshotProvider(const ProductContext&amp;, const PartitionStorageRegistry&amp;)` (ctor)</t>
  </si>
  <si>
    <t xml:space="preserve">Constructed in `CapabilityWorkerFixture` (used by every CapabilityWorkerTest test)</t>
  </si>
  <si>
    <t xml:space="preserve">RIMSnapshot Create(RIFacadeId facadeId) const override</t>
  </si>
  <si>
    <t xml:space="preserve">No dedicated `FacadeSnapshotProviderTest.cpp`; exercised indirectly via CapabilityWorkerTest.GenerateEnvironmentReadyFacade, GenerateOperationReadyFacade, and via out-of-scope `test/unit/datastore/RouteExecutorTest.cpp`</t>
  </si>
  <si>
    <t xml:space="preserve">The `facade == nullptr` branch (unknown facadeId → returns empty `RIMSnapshot`) is NOT covered by any capability-layer test. The `domainId == kInvalidDomainId` / `storage == nullptr` / `!storage-&gt;Find(...)` "continue" branches (a required capability was never computed / has no initial value) ARE exercised as an unasserted side effect in CapabilityWorkerTest.GenerateOperationReadyFacade's first `Execute(RI_DATA_TEMPERATURE_SENSOR_A)` call (OperationReady facade gets built while `PRINT_READY` capability has never been stored yet), but the resulting notification/value from that premature evaluation is drained and discarded (lines draining `publisherQueue` right after), never asserted</t>
  </si>
  <si>
    <t xml:space="preserve">Add a direct unit test: call `Create()` with an unregistered/unknown `RIFacadeId` and assert `snapshot.items.empty()` (currently only reachable, never asserted, at this class's own level — only proven for `CapabilitySnapshotProvider`'s equivalent case). Add an explicit, asserted test for "facade requires capability X and Y; only X has ever been computed/stored; Y was never computed (no initial value)" — assert the snapshot contains only X's item and that `FacadeManager::Evaluate` then falls back to Y's zero-value default, with the resulting facade value explicitly checked (this is the exact "no initial value" scenario the pipeline hits silently today, per note above).</t>
  </si>
  <si>
    <t xml:space="preserve">ICapabilitySnapshotProvider</t>
  </si>
  <si>
    <t xml:space="preserve">virtual RIMSnapshot Create(RICapabilityId) const = 0</t>
  </si>
  <si>
    <t xml:space="preserve">Pure virtual interface — no logic of its own; behavior tested via `CapabilitySnapshotProvider` (its sole implementation)</t>
  </si>
  <si>
    <t xml:space="preserve">n/a — interface only.</t>
  </si>
  <si>
    <t xml:space="preserve">IFacadeSnapshotProvider</t>
  </si>
  <si>
    <t xml:space="preserve">virtual RIMSnapshot Create(RIFacadeId) const = 0</t>
  </si>
  <si>
    <t xml:space="preserve">Pure virtual interface — no logic of its own; behavior tested via `FacadeSnapshotProvider` (its sole implementation)</t>
  </si>
  <si>
    <t xml:space="preserve">PrinterACapabilityBuilders</t>
  </si>
  <si>
    <t xml:space="preserve">RIMValue BuildEnvironmentCapability(const RIMSnapshot&amp; snapshot)</t>
  </si>
  <si>
    <t xml:space="preserve">CapabilityManagerTest.GenerateEnvironmentCapability / EnvironmentStateChangesGeneratesChange (via `CapabilityManager::Evaluate`); CapabilityDiffTest exercises the resulting values indirectly; SnapshotToCapabilityTest.GenerateCapabilities (integration, calls the builder directly with temp=300.15K/humidity=60 → asserts state 1)</t>
  </si>
  <si>
    <t xml:space="preserve">CapabilityManagerTest.MissingHumidityDoesNotThrow — humidity item absent from snapshot → `TryGetDouble` fails silently, `humidity` stays `0.0`, function still returns a value (falls to the `else`/base branch) without throwing</t>
  </si>
  <si>
    <t xml:space="preserve">Temperature present but exactly at each boundary (`60+273.15` / `25+273.15` and humidity `60.0`/`25.0`) — no boundary-value tests exist (only 300.15K/30–80 range values are used, never testing `&gt;=` edge exactly at threshold); BOTH temperature and humidity missing simultaneously (only "humidity missing" is tested; "temperature missing" and "both missing" are not); a negative or clearly out-of-physical-range temperature (sensor fault value); snapshot containing the id but with a non-double `ValueType` stored (type-mismatch causes `TryGetDouble` to fail — same effective path as missing, but worth an explicit test naming this scenario "corrupt/wrong-typed sensor value").</t>
  </si>
  <si>
    <t xml:space="preserve">RIMValue BuildPrintReadyCapability(const RIMSnapshot&amp; snapshot)</t>
  </si>
  <si>
    <t xml:space="preserve">CapabilityManagerTest.GeneratePrintReadyCapability / SamePrintReadyValueDoesNotGenerateChange; SnapshotToCapabilityTest.GenerateCapabilities (integration)</t>
  </si>
  <si>
    <t xml:space="preserve">No test feeds a snapshot missing one or more of the three door-open flags to this builder (all CapabilityManagerTest print-ready tests always supply all three doors)</t>
  </si>
  <si>
    <t xml:space="preserve">Snapshot missing one or more door flags entirely (never Set) — defaults to `false` (door "closed") per `TryGetBool` failure semantics, meaning a sensor that was never read is silently treated as "door closed/safe" — this fail-open-to-"ready" default is a meaningful safety-relevant edge case worth an explicit named test (e.g. `PrintReadyDefaultsClosedWhenDoorSensorNeverSet`); all three doors missing at once.</t>
  </si>
  <si>
    <t xml:space="preserve">PrinterACapabilityComparators</t>
  </si>
  <si>
    <t xml:space="preserve">(no functions defined — header/`.cpp` are empty stubs; both capabilities use the generic `IdentityDiff` from `products/common/CommonDiffFunctions.hpp` instead)</t>
  </si>
  <si>
    <t xml:space="preserve">If product-specific comparison logic is ever added here (e.g. hysteresis/tolerance-based diff instead of identity), it will need dedicated tests; currently this file contributes zero testable logic.</t>
  </si>
  <si>
    <t xml:space="preserve">PrinterAFacadeBuilders</t>
  </si>
  <si>
    <t xml:space="preserve">RIMValue BuildEnvironmentReadyFacade(const RIMSnapshot&amp; snapshot)</t>
  </si>
  <si>
    <t xml:space="preserve">CapabilityWorkerTest.GenerateEnvironmentReadyFacade / EnvironmentReadyFacadeChangesWhenEnvironmentBecomesState2 (via `FacadeManager::Evaluate`); FacadeManagerTest.GenerateEnvironmentReadyTrueFromState0/1, GenerateEnvironmentReadyFalseFromState2 (calls builder directly via Evaluate, covers all 3 possible environment states 0/1/2)</t>
  </si>
  <si>
    <t xml:space="preserve">FacadeManagerTest.MissingEnvironmentCapabilityDoesNotThrow — `RI_CAPABILITY_ENVIRONMENT` absent from snapshot → `TryGetInt32` fails, `environment` defaults to `0` → builder returns `true` (since `0 != 2`) — i.e. a capability that was never computed makes this facade default to "ready", which is a real fail-open concern</t>
  </si>
  <si>
    <t xml:space="preserve">Explicit test asserting the actual resulting VALUE (not just no-throw) when environment is missing — confirm it silently defaults to `true`/"ready" and decide if that's intended; environment value outside the expected {0,1,2} domain (e.g. garbage/uninitialized int) — builder only special-cases `!= 2`, so any unexpected value except exactly 2 is treated as ready.</t>
  </si>
  <si>
    <t xml:space="preserve">RIMValue BuildOperationReadyFacade(const RIMSnapshot&amp; snapshot)</t>
  </si>
  <si>
    <t xml:space="preserve">CapabilityWorkerTest.GenerateOperationReadyFacade / OperationReadyFacadeChangesWhenPrintReadyBecomesFalse / OperationReadyFacadeChangesWhenEnvironmentBecomesNotReady / SameOperationReadyFacadeValueDoesNotNotifyAgain; FacadeManagerTest.OperationReadyTrueWithEnvironment0AndPrintReadyTrue/1AndPrintReadyTrue, OperationReadyFalseWhenPrintReadyFalse, OperationReadyFalseWhenEnvironment2, OperationReadyValueChangeGeneratesChange</t>
  </si>
  <si>
    <t xml:space="preserve">FacadeManagerTest.MissingCapabilitiesForOperationReadyDoesNotThrow — BOTH `ENVIRONMENT` and `PRINT_READY` absent → both default (`environment=0`, `printReady=false`) → result `false` (`!=2 &amp;&amp; false` → false), no throw</t>
  </si>
  <si>
    <t xml:space="preserve">Only ONE of the two capabilities missing (e.g. `ENVIRONMENT` present/valid but `PRINT_READY` never computed, or vice versa) is not explicitly tested in isolation — only "both missing" and "both present" cases exist; this is precisely the real pipeline scenario silently occurring (and un-asserted) in `CapabilityWorkerTest.GenerateOperationReadyFacade`'s first `Execute()` call (see FacadeSnapshotProvider row above) — should be promoted to an explicit, asserted unit test.</t>
  </si>
  <si>
    <t xml:space="preserve">PrinterAFacadeComparators</t>
  </si>
  <si>
    <t xml:space="preserve">(no functions defined — empty stub; both facades use generic `IdentityDiff`)</t>
  </si>
  <si>
    <t xml:space="preserve">Same note as PrinterACapabilityComparators — currently zero testable logic.</t>
  </si>
  <si>
    <t xml:space="preserve">Capability (common, but the sole diff callback wired into all 4 capability/facade definitions)</t>
  </si>
  <si>
    <t xml:space="preserve">CommonDiffFunctions</t>
  </si>
  <si>
    <t xml:space="preserve">bool IdentityDiff(const RIMValue&amp; oldValue, const RIMValue&amp; newValue)</t>
  </si>
  <si>
    <t xml:space="preserve">CapabilityDiffTest.IdentityDiffDetectsBoolChange, IdentityDiffDetectsInt32Change; also exercised as `kEnvironmentCapability.diff`/`kPrintReadyCapability.diff` in EnvironmentStateChanged, EnvironmentNormalToWarning, EnvironmentWarningToCritical, PrintReadyChanged</t>
  </si>
  <si>
    <t xml:space="preserve">CapabilityDiffTest.IdentityDiffReturnsFalseForSameInt32 / IdentityDiffReturnsFalseForSameBool; EnvironmentStateUnchanged, PrintReadyUnchanged (identical old/new values → false)</t>
  </si>
  <si>
    <t xml:space="preserve">`oldValue`/`newValue` with mismatched `ValueType` (e.g. comparing an int32-typed old value against a bool-typed new value, which can occur if a stored capability's type ever changes) — not tested; comparing two default-constructed/zero-initialized `RIMValue`s (as would occur on the very first evaluation when there's no prior "oldValue" at all — note `CapabilityManager`/`FacadeManager::Evaluate` already special-case this via `oldValue == nullptr` short-circuit, so `diff` itself is never called on a true first-time/no-initial-value case; this guard path itself IS what's tested by `GenerateEnvironmentCapability`-style "first evaluation always returns changed=true" tests).</t>
  </si>
  <si>
    <t xml:space="preserve">CallbackQueue (EventQueue&lt;CallbackNotification,FifoPolicy&gt;)</t>
  </si>
  <si>
    <t xml:space="preserve">bool Push(const CallbackNotification&amp;)</t>
  </si>
  <si>
    <t xml:space="preserve">CallbackWorkerTest.MultipleWorkersCanProcessCallbacks (pushes 20 notifications)</t>
  </si>
  <si>
    <t xml:space="preserve">Push after Shutdown() should return false (no test); Push while WorkerLoop concurrently popping (race/stress); Push with default-constructed/zeroed CallbackNotification (subscriptionId=0, unregistered id)</t>
  </si>
  <si>
    <t xml:space="preserve">bool TryPop(CallbackNotification&amp;)</t>
  </si>
  <si>
    <t xml:space="preserve">TryPop on empty CallbackQueue should return false; TryPop after Shutdown with pending items should still drain remaining items</t>
  </si>
  <si>
    <t xml:space="preserve">bool WaitAndPop(CallbackNotification&amp;)</t>
  </si>
  <si>
    <t xml:space="preserve">CallbackWorkerTest.MultipleWorkersCanProcessCallbacks (via CallbackWorker::WorkerLoop calling queue_.WaitAndPop), ChangeNotifyManagerTest.NotifyMatchingTriggerSubscriber (indirect via CallbackWorker)</t>
  </si>
  <si>
    <t xml:space="preserve">No direct unit test of WaitAndPop on CallbackQueue itself (only exercised via CallbackWorker); WaitAndPop should unblock and return false when Shutdown() is called while a thread is blocked waiting (race between Stop() and pending Push)</t>
  </si>
  <si>
    <t xml:space="preserve">bool WaitAndPopFor(CallbackNotification&amp;, milliseconds)</t>
  </si>
  <si>
    <t xml:space="preserve">Never called on CallbackQueue in publisher scope; timeout-with-empty-queue case (should return false) and timeout race with Shutdown are both unexercised</t>
  </si>
  <si>
    <t xml:space="preserve">CallbackWorkerTest.MultipleWorkersCanProcessCallbacks (via CallbackWorker::Stop calling queue_.Shutdown), ChangeNotifyManagerTest.NotifyMatchingTriggerSubscriber / NotifyAllMatchingSubscribers (via CallbackWorker.Stop)</t>
  </si>
  <si>
    <t xml:space="preserve">Calling Shutdown() twice (idempotency); Shutdown() while other threads still call Push() concurrently — verify Push starts returning false immediately afterward (not directly asserted for CallbackQueue)</t>
  </si>
  <si>
    <t xml:space="preserve">CallbackSubscriber.hpp (`using NotificationCallback = std::function&lt;...&gt;`)</t>
  </si>
  <si>
    <t xml:space="preserve">n/a (type alias only)</t>
  </si>
  <si>
    <t xml:space="preserve">Pure type alias, no logic — skipped per instructions</t>
  </si>
  <si>
    <t xml:space="preserve">CallbackNotification.hpp (struct)</t>
  </si>
  <si>
    <t xml:space="preserve">n/a (pure data struct)</t>
  </si>
  <si>
    <t xml:space="preserve">Pure data struct, no logic — skipped per instructions</t>
  </si>
  <si>
    <t xml:space="preserve">NotificationMessage.hpp (struct)</t>
  </si>
  <si>
    <t xml:space="preserve">NotificationTarget.hpp (struct)</t>
  </si>
  <si>
    <t xml:space="preserve">SubscriptionInfo.hpp (struct)</t>
  </si>
  <si>
    <t xml:space="preserve">PeriodicCondition.hpp (struct)</t>
  </si>
  <si>
    <t xml:space="preserve">PublisherInput.hpp (struct)</t>
  </si>
  <si>
    <t xml:space="preserve">DeliveryMethod.hpp / NotificationTargetType.hpp / NotificationTrigger.hpp / SubscriptionId.hpp</t>
  </si>
  <si>
    <t xml:space="preserve">n/a (enums / type alias)</t>
  </si>
  <si>
    <t xml:space="preserve">No logic — skipped per instructions</t>
  </si>
  <si>
    <t xml:space="preserve">CallbackSubscriptionRegistry</t>
  </si>
  <si>
    <t xml:space="preserve">void Subscribe(SubscriptionId id, NotificationCallback callback)</t>
  </si>
  <si>
    <t xml:space="preserve">CallbackSubscriptionRegistryTest.InvokeCallback, CallbackSubscriptionRegistryTest.NotifyOnlySpecifiedEnvironmentSubscriber</t>
  </si>
  <si>
    <t xml:space="preserve">Subscribe with same id twice should overwrite prior callback silently (map `[]=` assignment) — not asserted; Subscribe with an empty/null `std::function` (later Notify should no-op, not crash) — not tested; concurrent Subscribe from multiple threads while Notify is executing (mutex covers copy but not full serialization guarantee)</t>
  </si>
  <si>
    <t xml:space="preserve">void Notify(SubscriptionId id, const NotificationMessage&amp; message)</t>
  </si>
  <si>
    <t xml:space="preserve">CallbackSubscriptionRegistryTest.InvokeCallback, ChangeNotifyManagerTest.NotifyMatchingTriggerSubscriber (via CallbackWorker)</t>
  </si>
  <si>
    <t xml:space="preserve">Notify() with an id that was never Subscribed (unknown/unregistered SubscriptionId) — code silently does nothing (callback stays default-constructed, `if(callback)` guards it) but this path is never exercised by a test; Notify() called after nothing ever subscribed (empty map)</t>
  </si>
  <si>
    <t xml:space="preserve">CallbackWorker</t>
  </si>
  <si>
    <t xml:space="preserve">void Run(std::size_t workerCount = 1)</t>
  </si>
  <si>
    <t xml:space="preserve">CallbackWorkerTest.MultipleWorkersCanProcessCallbacks (workerCount=4), ChangeNotifyManagerTest.NotifyMatchingTriggerSubscriber/NotifyAllMatchingSubscribers/CallbackNotificationTest.NotifyCallback (workerCount default=1)</t>
  </si>
  <si>
    <t xml:space="preserve">Run() called with workerCount=0 (code coerces to 1) — not tested; Run() called twice in a row while already running (guarded by `if(running_) return;`, so second call is a no-op and should not spawn extra threads) — not tested; Run() after a prior Stop() (restart) — not tested</t>
  </si>
  <si>
    <t xml:space="preserve">CallbackWorkerTest.MultipleWorkersCanProcessCallbacks, ChangeNotifyManagerTest.NotifyMatchingTriggerSubscriber/NotifyAllMatchingSubscribers/CallbackNotificationTest.NotifyCallback</t>
  </si>
  <si>
    <t xml:space="preserve">Stop() called when Run() was never called (workerThreads_ empty, queue_.Shutdown() still called) — not tested, should not crash; Stop() called twice in a row (idempotency, running_ already false) — not tested; Stop() invoked while queue has unpopped items in flight — item loss not asserted</t>
  </si>
  <si>
    <t xml:space="preserve">ChangeNotifyManager</t>
  </si>
  <si>
    <t xml:space="preserve">void Notify(const NotificationTarget&amp; target, NotificationTrigger trigger)</t>
  </si>
  <si>
    <t xml:space="preserve">ChangeNotifyManagerTest.NotifyErrorToMailbox, NotifyMatchingTriggerSubscriber, NotifyAllMatchingSubscribers, CallbackNotificationTest.NotifyCallback (Mailbox + Callback delivery paths)</t>
  </si>
  <si>
    <t xml:space="preserve">ChangeNotifyManagerTest.IgnorePeriodicSubscriberForOnChangeNotification / IgnoreOnChangeSubscriberForPeriodicNotification (trigger mismatch ignored); IgnoreDifferentTarget (target mismatch ignored); IgnorePeriodicCallbackSubscriberForOnChangeNotification (mismatched trigger, mailbox stays empty); CustomDeliveryWithoutHandler (Custom method, no handler set — verified no throw, failure count stays 0); CustomDeliveryFailedCountAccumulates (handler returns false repeatedly, failure counter increments)</t>
  </si>
  <si>
    <t xml:space="preserve">Mailbox delivery overflow path (mailbox full so `Push` returns false and `mailboxOverflowCount_` increments) is never exercised through `ChangeNotifyManager::Notify` itself (only tested at the SubscriberMailbox/SubscriberMailboxManager level directly) — should add a test that fills a subscriber's mailbox then calls Notify and checks GetMailboxOverflowCount(); Notify() with zero matching subscriptions (empty subscriptions vector) — implicitly covered by IgnoreDifferentTarget but not asserted as its own explicit "no subscribers" case; Notify() for DeliveryMethod::Custom when customHandler_ is set but Deliver() throws an exception (not swallowed)</t>
  </si>
  <si>
    <t xml:space="preserve">uint64_t GetMailboxOverflowCount() const</t>
  </si>
  <si>
    <t xml:space="preserve">Never called by any test in test/unit/publisher — should verify it starts at 0 and increments when a Mailbox-delivery Notify() overflows a subscriber's mailbox</t>
  </si>
  <si>
    <t xml:space="preserve">void SetCustomDeliveryHandler(ICustomDeliveryHandler* handler)</t>
  </si>
  <si>
    <t xml:space="preserve">ChangeNotifyManagerTest.CustomDeliverySucceeded, CustomDeliveryFailedCountAccumulates, CustomDeliveryReceivesSubscriptionAndMessage, CustomDeliveryCanForwardNotificationToEventSender</t>
  </si>
  <si>
    <t xml:space="preserve">SetCustomDeliveryHandler(nullptr) to clear a previously-set handler mid-lifecycle (revert to "no handler" behavior) — not tested; replacing an already-set handler with a different one (last-write-wins) — not tested</t>
  </si>
  <si>
    <t xml:space="preserve">uint64_t GetCustomDeliveryFailureCount() const</t>
  </si>
  <si>
    <t xml:space="preserve">ChangeNotifyManagerTest.CustomDeliveryWithoutHandler (0), CustomDeliverySucceeded (0), CustomDeliveryFailedCountAccumulates (3 after 3 failed calls)</t>
  </si>
  <si>
    <t xml:space="preserve">Counter behavior across mixed success/failure sequences (e.g. fail, succeed, fail — verify it only counts failures, not total calls) — not tested</t>
  </si>
  <si>
    <t xml:space="preserve">ICustomDeliveryHandler</t>
  </si>
  <si>
    <t xml:space="preserve">virtual bool Deliver(const SubscriptionInfo&amp;, const NotificationMessage&amp;) = 0</t>
  </si>
  <si>
    <t xml:space="preserve">ChangeNotifyManagerTest.CustomDeliverySucceeded/CustomDeliveryReceivesSubscriptionAndMessage/CustomDeliveryCanForwardNotificationToEventSender (SuccessfulCustomDeliveryHandler, RecordingCustomDeliveryHandler, EventForwardingHandler fakes)</t>
  </si>
  <si>
    <t xml:space="preserve">ChangeNotifyManagerTest.CustomDeliveryFailedCountAccumulates (FailingCustomDeliveryHandler returns false)</t>
  </si>
  <si>
    <t xml:space="preserve">Pure interface — no implementation to test directly; behavior fully depends on caller (ChangeNotifyManager) tests already listed above</t>
  </si>
  <si>
    <t xml:space="preserve">NotificationRateLimiter</t>
  </si>
  <si>
    <t xml:space="preserve">bool ShouldNotify(const NotificationTarget&amp; target, std::uint32_t minimumNotifyIntervalMs)</t>
  </si>
  <si>
    <t xml:space="preserve">NotificationRateLimiterTest.DifferentTargetCanNotify, DifferentCapabilityIndependent, CanNotifyAgainAfterInterval</t>
  </si>
  <si>
    <t xml:space="preserve">NotificationRateLimiterTest.IgnoreRapidNotification (second call within interval blocked); SameTargetBlocked (blocked repeatedly on 2nd/3rd call); DifferentTargetTypesWithSameIdAreIndependent (Capability id=1 vs Data id=1 tracked independently, proving key uses type+id not just id)</t>
  </si>
  <si>
    <t xml:space="preserve">Boundary case where elapsed time is exactly equal to minimumNotifyIntervalMs (code uses strict `&lt;`, so exactly-equal should allow notify) — not tested; minimumNotifyIntervalMs = 0 (should always allow) — not tested; concurrent ShouldNotify calls from multiple threads for the same target (mutex correctness under contention) — not tested</t>
  </si>
  <si>
    <t xml:space="preserve">NotificationReceiver</t>
  </si>
  <si>
    <t xml:space="preserve">bool TryGetNotification(SubscriptionId subscriptionId, NotificationMessage&amp; message)</t>
  </si>
  <si>
    <t xml:space="preserve">test/integration/PublisherToReactiveInfoManagerTest.ReceiveEnvironmentNotification</t>
  </si>
  <si>
    <t xml:space="preserve">No unit test exists in test/unit/publisher for this class at all; TryGetNotification on a SubscriptionId with no mailbox / empty mailbox should return false (SubscriberMailboxManager::GetMailbox lazily creates an empty mailbox via operator[], so this returns false rather than throwing) — not tested at any level; repeated calls draining a mailbox with several queued messages — not tested</t>
  </si>
  <si>
    <t xml:space="preserve">uint32_t GetMailboxCount(SubscriptionId id)</t>
  </si>
  <si>
    <t xml:space="preserve">Never called by any test in repo scope; GetMailboxCount for an id with no mailbox yet (should return 0, lazily creating an empty mailbox) — not tested; GetMailboxCount after several Push/Pop cycles — not tested</t>
  </si>
  <si>
    <t xml:space="preserve">PeriodicNotifyManager</t>
  </si>
  <si>
    <t xml:space="preserve">void Register(const PeriodicCondition&amp; condition)</t>
  </si>
  <si>
    <t xml:space="preserve">PeriodicNotifyManagerTest.GetDueConditions, UpdateNextTime, GetOnlyDueConditions</t>
  </si>
  <si>
    <t xml:space="preserve">Register() called twice with the same subscriptionId (map assignment overwrites prior condition/interval silently) — not tested; Register() with interval = 0 (condition immediately re-due every cycle) — not tested</t>
  </si>
  <si>
    <t xml:space="preserve">void GetDueConditions(std::vector&lt;PeriodicCondition&gt;&amp; out) const</t>
  </si>
  <si>
    <t xml:space="preserve">PeriodicNotifyManagerTest.GetDueConditions, GetOnlyDueConditions</t>
  </si>
  <si>
    <t xml:space="preserve">GetDueConditions() when no conditions registered at all (out should be cleared to empty) — not explicitly tested (only "future condition -&gt; empty subset" tested, not "zero conditions registered"); `out` vector pre-populated with stale data before the call (verifies `out.clear()` at top of impl) — not tested</t>
  </si>
  <si>
    <t xml:space="preserve">void UpdateNextTime(SubscriptionId subscriptionId)</t>
  </si>
  <si>
    <t xml:space="preserve">PeriodicNotifyManagerTest.UpdateNextTime</t>
  </si>
  <si>
    <t xml:space="preserve">None explicit</t>
  </si>
  <si>
    <t xml:space="preserve">UpdateNextTime() called with an unknown/unregistered subscriptionId — implementation explicitly early-returns via `if (it == conditions_.end()) return;` but no test calls UpdateNextTime with an id that was never Registered to confirm it doesn't throw/crash; calling UpdateNextTime() many times in a row without new due time (nextNotifyTime keeps advancing by `interval` each call — potential drift if called spuriously) — not tested</t>
  </si>
  <si>
    <t xml:space="preserve">PublishManager</t>
  </si>
  <si>
    <t xml:space="preserve">void ProcessPeriodicNotifications()</t>
  </si>
  <si>
    <t xml:space="preserve">PublishManagerTest.ProcessPeriodicNotifications, PeriodicNotificationDeliveredToMailbox</t>
  </si>
  <si>
    <t xml:space="preserve">Due condition whose subscriptionId no longer exists in SubscriptionStore (Find() fails, code does `continue`, skipping Publish and skipping UpdateNextTime — meaning it will stay "due" forever and be reprocessed every loop) — not tested, and looks like a plausible bug/edge case worth explicit coverage; multiple due conditions processed in one call (only single-condition scenarios tested)</t>
  </si>
  <si>
    <t xml:space="preserve">void Publish(const NotificationTarget&amp; target, NotificationTrigger trigger)</t>
  </si>
  <si>
    <t xml:space="preserve">PublishManagerTest.PublishOnChange, PeriodicNotificationDeliveredToMailbox (Periodic path via ProcessPeriodicNotifications)</t>
  </si>
  <si>
    <t xml:space="preserve">PublishManagerTest.PublishWithoutSubscriber (no subscriber registered, EXPECT_NO_THROW); PublishUnknownTargetDoesNotThrow (target id 999999 has no route in ProductContext -&gt; ResolveRoute returns nullptr -&gt; early return, EXPECT_NO_THROW)</t>
  </si>
  <si>
    <t xml:space="preserve">Rate-limiter suppression path for OnChange trigger (route found, but rateLimiter_.ShouldNotify returns false on 2nd rapid call — should verify notifyManager_.Notify is NOT invoked a second time) — not tested at the PublishManager level (only NotificationRateLimiter tested in isolation); Publish() with NotificationTrigger::Periodic and an out-of-range/invalid target — Periodic path skips route/rate-limit checks entirely and calls notifyManager_.Notify unconditionally, so an untested divergence in behavior between OnChange vs Periodic for "unknown target" exists</t>
  </si>
  <si>
    <t xml:space="preserve">PublisherInputQueue (EventQueue&lt;PublisherInput,PriorityCompressionPolicy&gt;)</t>
  </si>
  <si>
    <t xml:space="preserve">bool Push(const PublisherInput&amp;)</t>
  </si>
  <si>
    <t xml:space="preserve">PublisherInputQueueTest.PushPop, WaitAndPop, WaitAndPopFor, KeepLatestCompresses, KeepOldestCompresses, NonePolicyKeepsBothEvents</t>
  </si>
  <si>
    <t xml:space="preserve">Push() after Shutdown() should return false — not tested (only WaitAndPop-after-shutdown is tested, not Push-after-shutdown); Push() with CompressionPolicy::KeepLatest/KeepOldest across differing EventPriority mixed with a third unrelated target — only 2-event coalescing pairs tested</t>
  </si>
  <si>
    <t xml:space="preserve">bool TryPop(PublisherInput&amp;)</t>
  </si>
  <si>
    <t xml:space="preserve">PublisherInputQueueTest.PushPop, KeepLatestCompresses, KeepOldestCompresses, NonePolicyKeepsBothEvents</t>
  </si>
  <si>
    <t xml:space="preserve">PublisherInputQueueTest.KeepOldestCompresses (second TryPop after the single compressed item is drained returns false, i.e. TryPop-on-empty)</t>
  </si>
  <si>
    <t xml:space="preserve">TryPop after Shutdown() with items still queued (should still return true and drain) — not tested; TryPop concurrently from multiple worker threads (mutex correctness, no double-pop) — not tested</t>
  </si>
  <si>
    <t xml:space="preserve">bool WaitAndPop(PublisherInput&amp;)</t>
  </si>
  <si>
    <t xml:space="preserve">PublisherInputQueueTest.WaitAndPop</t>
  </si>
  <si>
    <t xml:space="preserve">PublisherInputQueueTest.Shutdown (Shutdown() called first, then WaitAndPop returns false immediately since shutdown_ &amp;&amp; events_.empty())</t>
  </si>
  <si>
    <t xml:space="preserve">WaitAndPop() blocking then unblocked by a concurrent Push() from another thread (only the "already pushed, then popped" ordering is tested — no true blocking-then-notified scenario); WaitAndPop() when Shutdown() occurs while items are still queued (shutdown_ true but events_ non-empty — code should still pop and return true) — not tested</t>
  </si>
  <si>
    <t xml:space="preserve">bool WaitAndPopFor(PublisherInput&amp;, milliseconds timeout)</t>
  </si>
  <si>
    <t xml:space="preserve">PublisherInputQueueTest.WaitAndPopFor</t>
  </si>
  <si>
    <t xml:space="preserve">PublisherInputQueueTest.WaitAndPopForTimeout (empty queue, 10ms timeout, returns false)</t>
  </si>
  <si>
    <t xml:space="preserve">WaitAndPopFor() where shutdown occurs during the wait window (should return false via the `shutdown_ &amp;&amp; events_.empty()` branch, distinct from a plain timeout) — not tested; WaitAndPopFor() where an item arrives just before timeout expiry (race/near-boundary) — not tested</t>
  </si>
  <si>
    <t xml:space="preserve">PublisherInputQueueTest.Shutdown, PublisherWorkerTest.RunAndStop (via PublisherWorker::Stop)</t>
  </si>
  <si>
    <t xml:space="preserve">Shutdown() called twice (idempotency) — not tested; Shutdown() while a WaitAndPopFor() call is mid-wait on another thread (notify_all wakes it) — only sequential (Shutdown-then-wait) ordering is tested, not concurrent</t>
  </si>
  <si>
    <t xml:space="preserve">PriorityCompressionPolicy (core/common/QueuePolicy.hpp, exercised entirely by publisher tests)</t>
  </si>
  <si>
    <t xml:space="preserve">void Insert(std::list&lt;T&gt;&amp; events, const T&amp; event)</t>
  </si>
  <si>
    <t xml:space="preserve">PriorityCompressionPolicyTest.NonePolicyKeepsBothEvents, PriorityOrderIsMaintained, SamePriorityPreservesInsertionOrder; PublisherInputQueueTest.NonePolicyKeepsBothEvents</t>
  </si>
  <si>
    <t xml:space="preserve">PriorityCompressionPolicyTest.KeepLatestReplacesOldEvent, KeepOldestPreservesFirstEvent, MixedCompressionPolicies (KeepLatest/KeepOldest coalescing by target type+id); PublisherInputQueueTest.KeepLatestCompresses/KeepOldestCompresses</t>
  </si>
  <si>
    <t xml:space="preserve">Coalescing behavior when 3+ events for the same target/compression-key are pushed in a row (only 2-event pairs tested); interaction between compression and priority ordering when the compressed-away event had a different priority than a third differently-targeted event already in the list (does removal+reinsert preserve overall priority order correctly in all cases?)</t>
  </si>
  <si>
    <t xml:space="preserve">PublisherWorker</t>
  </si>
  <si>
    <t xml:space="preserve">void Run()</t>
  </si>
  <si>
    <t xml:space="preserve">PublisherWorkerTest.RunAndStop</t>
  </si>
  <si>
    <t xml:space="preserve">Run() called twice while already running (`if(running_) return;` guard) — not tested, should not spawn a second thread; Run() when the queue already has pending items at start (verifies first WaitAndPopFor loop iteration picks them up) — not explicitly tested</t>
  </si>
  <si>
    <t xml:space="preserve">Stop() called without a prior Run() (running_ already false, queue_.Shutdown() still invoked, thread never joinable) — not tested, should not crash; Stop() called twice in a row (idempotency) — not tested</t>
  </si>
  <si>
    <t xml:space="preserve">PublisherWorkerTest.ExecuteOnce</t>
  </si>
  <si>
    <t xml:space="preserve">PublisherWorkerTest.ReturnFalseWhenQueueEmpty (TryPop fails on empty queue -&gt; returns false, and ProcessPeriodicNotifications is skipped in that branch)</t>
  </si>
  <si>
    <t xml:space="preserve">ExecuteOnce() where TryPop succeeds but ProcessPeriodicNotifications() has due periodic conditions pending at the same time (verifying both effects happen in one call) — not tested; repeated ExecuteOnce() calls draining multiple queued items one at a time — not tested</t>
  </si>
  <si>
    <t xml:space="preserve">SubscriberMailbox</t>
  </si>
  <si>
    <t xml:space="preserve">`explicit SubscriberMailbox(std::size_t maxSize = 1000)` (constructor)</t>
  </si>
  <si>
    <t xml:space="preserve">SubscriberMailboxTest.OverflowDetected (maxSize=1), MailboxTest.* (default maxSize)</t>
  </si>
  <si>
    <t xml:space="preserve">maxSize = 0 (every Push should immediately overflow) — not tested</t>
  </si>
  <si>
    <t xml:space="preserve">bool Push(const NotificationMessage&amp; message)</t>
  </si>
  <si>
    <t xml:space="preserve">MailboxTest.PushAndPop, PreserveOrder; SubscriberMailboxTest.PushPopPrintReadyNotification</t>
  </si>
  <si>
    <t xml:space="preserve">SubscriberMailboxTest.OverflowDetected (maxSize=1, second Push returns false, overflow count increments); SubscriberMailboxManagerTest.GetOverflowCount (1001 pushes into default maxSize=1000 mailbox, 1001st fails)</t>
  </si>
  <si>
    <t xml:space="preserve">Push() exactly at the maxSize boundary (maxSize-th push should succeed, (maxSize+1)-th should fail — only implicitly covered by GetOverflowCount test with maxSize=1000, not asserted with a small explicit boundary size); repeated overflowing pushes verifying overflowCount_ keeps incrementing past 1 (only ever tested up to exactly 1 overflow)</t>
  </si>
  <si>
    <t xml:space="preserve">bool Pop(NotificationMessage&amp; message)</t>
  </si>
  <si>
    <t xml:space="preserve">MailboxTest.PopEmptyMailbox (Pop on empty mailbox returns false, message left untouched)</t>
  </si>
  <si>
    <t xml:space="preserve">Pop() after mailbox has been fully drained then Push()+Pop() again (reuse after empty) — not explicitly tested, though implied safe by design</t>
  </si>
  <si>
    <t xml:space="preserve">uint32_t Count() const</t>
  </si>
  <si>
    <t xml:space="preserve">PublishManagerTest.PublishOnChange (Count()==1 after one Mailbox-delivered Publish)</t>
  </si>
  <si>
    <t xml:space="preserve">Count() on a never-touched mailbox (should be 0) — not tested; Count() after Push/Pop pairs returning to 0 — not tested; Count() correctness right at maxSize (boundary) — not tested</t>
  </si>
  <si>
    <t xml:space="preserve">uint64_t GetOverflowCount() const</t>
  </si>
  <si>
    <t xml:space="preserve">SubscriberMailboxTest.OverflowDetected (returns 1 after one overflow)</t>
  </si>
  <si>
    <t xml:space="preserve">GetOverflowCount() on a mailbox that never overflowed (should be 0) — not explicitly tested as its own assertion (only ever checked in the overflow test); GetOverflowCount() after multiple distinct overflow events (&gt;1) — not tested</t>
  </si>
  <si>
    <t xml:space="preserve">SubscriberMailboxManager</t>
  </si>
  <si>
    <t xml:space="preserve">SubscriberMailbox&amp; GetMailbox(SubscriptionId id)</t>
  </si>
  <si>
    <t xml:space="preserve">SubscriberMailboxManagerTest.ReturnSameMailboxForSameId, ReturnDifferentMailboxForDifferentId; used pervasively in ChangeNotifyManagerTest/PublishManagerTest</t>
  </si>
  <si>
    <t xml:space="preserve">GetMailbox() is not thread-safe despite the class holding a `mutex_` — the implementation `return mailboxes_[id];` accesses `mailboxes_` via `operator[]` with no lock at all (the mutex_ is only used inside GetOverflowCount), so concurrent GetMailbox() calls from multiple threads (e.g. ChangeNotifyManager::Notify from a worker thread + NotificationReceiver from a consumer thread) racing on the same unordered_map is a real data-race risk — not tested, and worth a dedicated concurrency/TSAN-style test; GetMailbox() for id=0 or very large ids (map growth/rehash mid-notification) — not tested</t>
  </si>
  <si>
    <t xml:space="preserve">uint64_t GetOverflowCount(SubscriptionId id)</t>
  </si>
  <si>
    <t xml:space="preserve">SubscriberMailboxManagerTest.GetOverflowCount (1001 pushes -&gt; 1)</t>
  </si>
  <si>
    <t xml:space="preserve">SubscriberMailboxManagerTest.GetOverflowCountUnknownMailbox (id=999 never created -&gt; returns 0 without creating a mailbox as a side effect, since it uses `find` not `operator[]`)</t>
  </si>
  <si>
    <t xml:space="preserve">GetOverflowCount() called concurrently with GetMailbox()/Push() on the same id from another thread (map iterator invalidation risk since GetMailbox uses unlocked operator[] while GetOverflowCount takes the lock and uses find — inconsistent locking discipline between the two methods) — not tested</t>
  </si>
  <si>
    <t xml:space="preserve">SubscriptionStore</t>
  </si>
  <si>
    <t xml:space="preserve">SubscriptionId CreateSubscriptionId()</t>
  </si>
  <si>
    <t xml:space="preserve">SubscriptionStoreTest.GenerateUniqueSubscriptionId; used pervasively across all publisher tests</t>
  </si>
  <si>
    <t xml:space="preserve">Concurrent CreateSubscriptionId() calls from multiple threads (mutex should serialize `nextId_++`, guaranteeing uniqueness) — not tested; behavior at nextId_ overflow (std::uint64_t wraparound after ~18 quintillion calls) — impractical to test but worth noting as a theoretical edge</t>
  </si>
  <si>
    <t xml:space="preserve">void Register(const SubscriptionInfo&amp; info)</t>
  </si>
  <si>
    <t xml:space="preserve">SubscriptionStoreTest.RegisterAndFind, GetSubscriptions, KeepDeliveryMethodAndTiming, GetPeriodicSubscriptions; used pervasively</t>
  </si>
  <si>
    <t xml:space="preserve">Register() called twice with the same `id` (duplicate subscription id) — implementation just `push_back`s, so Find() would return the first match and GetSubscriptions() would return both entries as duplicates, causing double-delivery on Notify() — not tested and is a plausible real bug source; Register() with a default/zero-initialized SubscriptionInfo (id=0) — not tested</t>
  </si>
  <si>
    <t xml:space="preserve">bool Find(SubscriptionId id, SubscriptionInfo&amp; out) const</t>
  </si>
  <si>
    <t xml:space="preserve">SubscriptionStoreTest.RegisterAndFind, KeepDeliveryMethodAndTiming</t>
  </si>
  <si>
    <t xml:space="preserve">SubscriptionStoreTest.NotFound (id=999 not registered -&gt; returns false, `out` left default)</t>
  </si>
  <si>
    <t xml:space="preserve">Find() on an empty store (no subscriptions ever registered) — not explicitly distinguished from "id not found among existing subscriptions" (NotFound test registers nothing either way, so it does cover this, but not explicitly labeled); Find() after Register() of many entries — linear scan correctness with many entries (only tested with 1-3 entries)</t>
  </si>
  <si>
    <t xml:space="preserve">void GetSubscriptions(const NotificationTarget&amp; target, NotificationTrigger trigger, std::vector&lt;SubscriptionInfo&gt;&amp; subscriptions) const</t>
  </si>
  <si>
    <t xml:space="preserve">SubscriptionStoreTest.GetSubscriptions, GetPeriodicSubscriptions</t>
  </si>
  <si>
    <t xml:space="preserve">ChangeNotifyManagerTest.IgnoreDifferentTarget / IgnorePeriodicSubscriberForOnChangeNotification exercise the "no match" filtering indirectly through ChangeNotifyManager::Notify, but SubscriptionStoreTest itself has no explicit "zero matches" test case</t>
  </si>
  <si>
    <t xml:space="preserve">GetSubscriptions() with zero matching subscriptions, called directly on SubscriptionStore (not just indirectly via ChangeNotifyManager) — should assert the output vector is cleared and empty; GetSubscriptions() where `subscriptions` output param is pre-populated with stale data before the call (verifies `subscriptions.clear()` at top of impl) — not tested; GetSubscriptions() matching by target.type+target.id+trigger with many entries where multiple DeliveryMethod values interleave (only 1-3 entries tested)</t>
  </si>
  <si>
    <t xml:space="preserve">調査中に見つかった設計上の注意点・疑問点</t>
  </si>
  <si>
    <t xml:space="preserve">[A]</t>
  </si>
  <si>
    <r>
      <rPr>
        <sz val="9"/>
        <rFont val="Arial"/>
        <family val="0"/>
        <charset val="1"/>
      </rPr>
      <t xml:space="preserve">AdapterDispatcher::Dispatch </t>
    </r>
    <r>
      <rPr>
        <sz val="9"/>
        <rFont val="WenQuanYi Zen Hei"/>
        <family val="2"/>
      </rPr>
      <t xml:space="preserve">は </t>
    </r>
    <r>
      <rPr>
        <sz val="9"/>
        <rFont val="Arial"/>
        <family val="0"/>
        <charset val="1"/>
      </rPr>
      <t xml:space="preserve">queue-&gt;storeQueue-&gt;Push() </t>
    </r>
    <r>
      <rPr>
        <sz val="9"/>
        <rFont val="WenQuanYi Zen Hei"/>
        <family val="2"/>
      </rPr>
      <t xml:space="preserve">の戻り値を確認しておらず、</t>
    </r>
    <r>
      <rPr>
        <sz val="9"/>
        <rFont val="Arial"/>
        <family val="0"/>
        <charset val="1"/>
      </rPr>
      <t xml:space="preserve">Push </t>
    </r>
    <r>
      <rPr>
        <sz val="9"/>
        <rFont val="WenQuanYi Zen Hei"/>
        <family val="2"/>
      </rPr>
      <t xml:space="preserve">が </t>
    </r>
    <r>
      <rPr>
        <sz val="9"/>
        <rFont val="Arial"/>
        <family val="0"/>
        <charset val="1"/>
      </rPr>
      <t xml:space="preserve">false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Shutdown</t>
    </r>
    <r>
      <rPr>
        <sz val="9"/>
        <rFont val="WenQuanYi Zen Hei"/>
        <family val="2"/>
      </rPr>
      <t xml:space="preserve">後等）を返しても常に </t>
    </r>
    <r>
      <rPr>
        <sz val="9"/>
        <rFont val="Arial"/>
        <family val="0"/>
        <charset val="1"/>
      </rPr>
      <t xml:space="preserve">true </t>
    </r>
    <r>
      <rPr>
        <sz val="9"/>
        <rFont val="WenQuanYi Zen Hei"/>
        <family val="2"/>
      </rPr>
      <t xml:space="preserve">を返す。回帰テストが望ましい。</t>
    </r>
  </si>
  <si>
    <r>
      <rPr>
        <sz val="9"/>
        <rFont val="Arial"/>
        <family val="0"/>
        <charset val="1"/>
      </rPr>
      <t xml:space="preserve">RIM_GetNotification </t>
    </r>
    <r>
      <rPr>
        <sz val="9"/>
        <rFont val="WenQuanYi Zen Hei"/>
        <family val="2"/>
      </rPr>
      <t xml:space="preserve">には他の</t>
    </r>
    <r>
      <rPr>
        <sz val="9"/>
        <rFont val="Arial"/>
        <family val="0"/>
        <charset val="1"/>
      </rPr>
      <t xml:space="preserve">API</t>
    </r>
    <r>
      <rPr>
        <sz val="9"/>
        <rFont val="WenQuanYi Zen Hei"/>
        <family val="2"/>
      </rPr>
      <t xml:space="preserve">と違い </t>
    </r>
    <r>
      <rPr>
        <sz val="9"/>
        <rFont val="Arial"/>
        <family val="0"/>
        <charset val="1"/>
      </rPr>
      <t xml:space="preserve">!g_context </t>
    </r>
    <r>
      <rPr>
        <sz val="9"/>
        <rFont val="WenQuanYi Zen Hei"/>
        <family val="2"/>
      </rPr>
      <t xml:space="preserve">のガードが一切ない。</t>
    </r>
    <r>
      <rPr>
        <sz val="9"/>
        <rFont val="Arial"/>
        <family val="0"/>
        <charset val="1"/>
      </rPr>
      <t xml:space="preserve">RIM_Create() </t>
    </r>
    <r>
      <rPr>
        <sz val="9"/>
        <rFont val="WenQuanYi Zen Hei"/>
        <family val="2"/>
      </rPr>
      <t xml:space="preserve">前に呼ぶと </t>
    </r>
    <r>
      <rPr>
        <sz val="9"/>
        <rFont val="Arial"/>
        <family val="0"/>
        <charset val="1"/>
      </rPr>
      <t xml:space="preserve">g_context </t>
    </r>
    <r>
      <rPr>
        <sz val="9"/>
        <rFont val="WenQuanYi Zen Hei"/>
        <family val="2"/>
      </rPr>
      <t xml:space="preserve">の </t>
    </r>
    <r>
      <rPr>
        <sz val="9"/>
        <rFont val="Arial"/>
        <family val="0"/>
        <charset val="1"/>
      </rPr>
      <t xml:space="preserve">null unique_ptr </t>
    </r>
    <r>
      <rPr>
        <sz val="9"/>
        <rFont val="WenQuanYi Zen Hei"/>
        <family val="2"/>
      </rPr>
      <t xml:space="preserve">を参照しクラッシュする可能性が高い（要優先対応）。</t>
    </r>
  </si>
  <si>
    <r>
      <rPr>
        <sz val="9"/>
        <rFont val="Arial"/>
        <family val="0"/>
        <charset val="1"/>
      </rPr>
      <t xml:space="preserve">RIMValueFactory::CreateInt64 / CreateUInt64 / CreateString </t>
    </r>
    <r>
      <rPr>
        <sz val="9"/>
        <rFont val="WenQuanYi Zen Hei"/>
        <family val="2"/>
      </rPr>
      <t xml:space="preserve">は現行コードから一切呼び出されておらず、テストも皆無。</t>
    </r>
  </si>
  <si>
    <r>
      <rPr>
        <sz val="9"/>
        <rFont val="Arial"/>
        <family val="0"/>
        <charset val="1"/>
      </rPr>
      <t xml:space="preserve">RIMValueFactory::CreateBinaryInput </t>
    </r>
    <r>
      <rPr>
        <sz val="9"/>
        <rFont val="WenQuanYi Zen Hei"/>
        <family val="2"/>
      </rPr>
      <t xml:space="preserve">は現行ツリーには存在しない（</t>
    </r>
    <r>
      <rPr>
        <sz val="9"/>
        <rFont val="Arial"/>
        <family val="0"/>
        <charset val="1"/>
      </rPr>
      <t xml:space="preserve">old_0818/old_0820 </t>
    </r>
    <r>
      <rPr>
        <sz val="9"/>
        <rFont val="WenQuanYi Zen Hei"/>
        <family val="2"/>
      </rPr>
      <t xml:space="preserve">のみに残存）。</t>
    </r>
  </si>
  <si>
    <r>
      <rPr>
        <sz val="9"/>
        <rFont val="Arial"/>
        <family val="0"/>
        <charset val="1"/>
      </rPr>
      <t xml:space="preserve">core/store/include/StoreFunctions.hpp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DiffFunctions.hpp </t>
    </r>
    <r>
      <rPr>
        <sz val="9"/>
        <rFont val="WenQuanYi Zen Hei"/>
        <family val="2"/>
      </rPr>
      <t xml:space="preserve">はどの製品定義からも</t>
    </r>
    <r>
      <rPr>
        <sz val="9"/>
        <rFont val="Arial"/>
        <family val="0"/>
        <charset val="1"/>
      </rPr>
      <t xml:space="preserve">#include</t>
    </r>
    <r>
      <rPr>
        <sz val="9"/>
        <rFont val="WenQuanYi Zen Hei"/>
        <family val="2"/>
      </rPr>
      <t xml:space="preserve">されていないデッドコード。</t>
    </r>
    <r>
      <rPr>
        <sz val="9"/>
        <rFont val="Arial"/>
        <family val="0"/>
        <charset val="1"/>
      </rPr>
      <t xml:space="preserve">DiffFunctions.hpp </t>
    </r>
    <r>
      <rPr>
        <sz val="9"/>
        <rFont val="WenQuanYi Zen Hei"/>
        <family val="2"/>
      </rPr>
      <t xml:space="preserve">の </t>
    </r>
    <r>
      <rPr>
        <sz val="9"/>
        <rFont val="Arial"/>
        <family val="0"/>
        <charset val="1"/>
      </rPr>
      <t xml:space="preserve">DefaultDiff </t>
    </r>
    <r>
      <rPr>
        <sz val="9"/>
        <rFont val="WenQuanYi Zen Hei"/>
        <family val="2"/>
      </rPr>
      <t xml:space="preserve">は </t>
    </r>
    <r>
      <rPr>
        <sz val="9"/>
        <rFont val="Arial"/>
        <family val="0"/>
        <charset val="1"/>
      </rPr>
      <t xml:space="preserve">RIMValue </t>
    </r>
    <r>
      <rPr>
        <sz val="9"/>
        <rFont val="WenQuanYi Zen Hei"/>
        <family val="2"/>
      </rPr>
      <t xml:space="preserve">全体を </t>
    </r>
    <r>
      <rPr>
        <sz val="9"/>
        <rFont val="Arial"/>
        <family val="0"/>
        <charset val="1"/>
      </rPr>
      <t xml:space="preserve">memcmp </t>
    </r>
    <r>
      <rPr>
        <sz val="9"/>
        <rFont val="WenQuanYi Zen Hei"/>
        <family val="2"/>
      </rPr>
      <t xml:space="preserve">しており、</t>
    </r>
    <r>
      <rPr>
        <sz val="9"/>
        <rFont val="Arial"/>
        <family val="0"/>
        <charset val="1"/>
      </rPr>
      <t xml:space="preserve">kBinary/kString </t>
    </r>
    <r>
      <rPr>
        <sz val="9"/>
        <rFont val="WenQuanYi Zen Hei"/>
        <family val="2"/>
      </rPr>
      <t xml:space="preserve">のようなポインタ保持型には本質的に安全でない。</t>
    </r>
  </si>
  <si>
    <r>
      <rPr>
        <sz val="9"/>
        <rFont val="Arial"/>
        <family val="0"/>
        <charset val="1"/>
      </rPr>
      <t xml:space="preserve">RouteProvider::Initialize </t>
    </r>
    <r>
      <rPr>
        <sz val="9"/>
        <rFont val="WenQuanYi Zen Hei"/>
        <family val="2"/>
      </rPr>
      <t xml:space="preserve">は再実行するとキューを作り直すため、以前の </t>
    </r>
    <r>
      <rPr>
        <sz val="9"/>
        <rFont val="Arial"/>
        <family val="0"/>
        <charset val="1"/>
      </rPr>
      <t xml:space="preserve">Find() </t>
    </r>
    <r>
      <rPr>
        <sz val="9"/>
        <rFont val="WenQuanYi Zen Hei"/>
        <family val="2"/>
      </rPr>
      <t xml:space="preserve">結果（</t>
    </r>
    <r>
      <rPr>
        <sz val="9"/>
        <rFont val="Arial"/>
        <family val="0"/>
        <charset val="1"/>
      </rPr>
      <t xml:space="preserve">RouteQueues*</t>
    </r>
    <r>
      <rPr>
        <sz val="9"/>
        <rFont val="WenQuanYi Zen Hei"/>
        <family val="2"/>
      </rPr>
      <t xml:space="preserve">）を保持しているコードがあればダングリングポインタになる。また </t>
    </r>
    <r>
      <rPr>
        <sz val="9"/>
        <rFont val="Arial"/>
        <family val="0"/>
        <charset val="1"/>
      </rPr>
      <t xml:space="preserve">route </t>
    </r>
    <r>
      <rPr>
        <sz val="9"/>
        <rFont val="WenQuanYi Zen Hei"/>
        <family val="2"/>
      </rPr>
      <t xml:space="preserve">未解決時は </t>
    </r>
    <r>
      <rPr>
        <sz val="9"/>
        <rFont val="Arial"/>
        <family val="0"/>
        <charset val="1"/>
      </rPr>
      <t xml:space="preserve">assert </t>
    </r>
    <r>
      <rPr>
        <sz val="9"/>
        <rFont val="WenQuanYi Zen Hei"/>
        <family val="2"/>
      </rPr>
      <t xml:space="preserve">に依存しており、</t>
    </r>
    <r>
      <rPr>
        <sz val="9"/>
        <rFont val="Arial"/>
        <family val="0"/>
        <charset val="1"/>
      </rPr>
      <t xml:space="preserve">Release </t>
    </r>
    <r>
      <rPr>
        <sz val="9"/>
        <rFont val="WenQuanYi Zen Hei"/>
        <family val="2"/>
      </rPr>
      <t xml:space="preserve">ビルドでは検出されない。</t>
    </r>
  </si>
  <si>
    <t xml:space="preserve">[B]</t>
  </si>
  <si>
    <r>
      <rPr>
        <sz val="9"/>
        <rFont val="Arial"/>
        <family val="0"/>
        <charset val="1"/>
      </rPr>
      <t xml:space="preserve">core/storage/include/SnapshotBuilder.hpp </t>
    </r>
    <r>
      <rPr>
        <sz val="9"/>
        <rFont val="WenQuanYi Zen Hei"/>
        <family val="2"/>
      </rPr>
      <t xml:space="preserve">と </t>
    </r>
    <r>
      <rPr>
        <sz val="9"/>
        <rFont val="Arial"/>
        <family val="0"/>
        <charset val="1"/>
      </rPr>
      <t xml:space="preserve">core/storage/snapshot/include/SnapshotBuilder.hpp </t>
    </r>
    <r>
      <rPr>
        <sz val="9"/>
        <rFont val="WenQuanYi Zen Hei"/>
        <family val="2"/>
      </rPr>
      <t xml:space="preserve">が同一クラスを重複宣言している（内容は一致しているため実害はないが、インクルードパスの順序に依存する設計になっている）。</t>
    </r>
  </si>
  <si>
    <r>
      <rPr>
        <sz val="9"/>
        <rFont val="WenQuanYi Zen Hei"/>
        <family val="2"/>
      </rPr>
      <t xml:space="preserve">旧 </t>
    </r>
    <r>
      <rPr>
        <sz val="9"/>
        <rFont val="Arial"/>
        <family val="0"/>
        <charset val="1"/>
      </rPr>
      <t xml:space="preserve">DomainStorage / DomainStorageRegistry </t>
    </r>
    <r>
      <rPr>
        <sz val="9"/>
        <rFont val="WenQuanYi Zen Hei"/>
        <family val="2"/>
      </rPr>
      <t xml:space="preserve">は現行ツリーでは </t>
    </r>
    <r>
      <rPr>
        <sz val="9"/>
        <rFont val="Arial"/>
        <family val="0"/>
        <charset val="1"/>
      </rPr>
      <t xml:space="preserve">PartitionStorage / PartitionStorageRegistry </t>
    </r>
    <r>
      <rPr>
        <sz val="9"/>
        <rFont val="WenQuanYi Zen Hei"/>
        <family val="2"/>
      </rPr>
      <t xml:space="preserve">にリネームされている。</t>
    </r>
  </si>
  <si>
    <r>
      <rPr>
        <sz val="9"/>
        <rFont val="Arial"/>
        <family val="0"/>
        <charset val="1"/>
      </rPr>
      <t xml:space="preserve">test/unit/accessor/ReactiveInfoManagerTest.cpp </t>
    </r>
    <r>
      <rPr>
        <sz val="9"/>
        <rFont val="WenQuanYi Zen Hei"/>
        <family val="2"/>
      </rPr>
      <t xml:space="preserve">という名前だが、実際には </t>
    </r>
    <r>
      <rPr>
        <sz val="9"/>
        <rFont val="Arial"/>
        <family val="0"/>
        <charset val="1"/>
      </rPr>
      <t xml:space="preserve">ReactiveInfoManager </t>
    </r>
    <r>
      <rPr>
        <sz val="9"/>
        <rFont val="WenQuanYi Zen Hei"/>
        <family val="2"/>
      </rPr>
      <t xml:space="preserve">というクラスは存在せず、</t>
    </r>
    <r>
      <rPr>
        <sz val="9"/>
        <rFont val="Arial"/>
        <family val="0"/>
        <charset val="1"/>
      </rPr>
      <t xml:space="preserve">SubscriberMailboxManager </t>
    </r>
    <r>
      <rPr>
        <sz val="9"/>
        <rFont val="WenQuanYi Zen Hei"/>
        <family val="2"/>
      </rPr>
      <t xml:space="preserve">と </t>
    </r>
    <r>
      <rPr>
        <sz val="9"/>
        <rFont val="Arial"/>
        <family val="0"/>
        <charset val="1"/>
      </rPr>
      <t xml:space="preserve">NotificationReceiver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Publisher</t>
    </r>
    <r>
      <rPr>
        <sz val="9"/>
        <rFont val="WenQuanYi Zen Hei"/>
        <family val="2"/>
      </rPr>
      <t xml:space="preserve">レイヤ）をテストしている。テストファイル名が実体と乖離している。</t>
    </r>
  </si>
  <si>
    <r>
      <rPr>
        <sz val="9"/>
        <rFont val="Arial"/>
        <family val="0"/>
        <charset val="1"/>
      </rPr>
      <t xml:space="preserve">RIMSnapshot::GetBinaryHash() </t>
    </r>
    <r>
      <rPr>
        <sz val="9"/>
        <rFont val="WenQuanYi Zen Hei"/>
        <family val="2"/>
      </rPr>
      <t xml:space="preserve">はヘッダで宣言されているが実装</t>
    </r>
    <r>
      <rPr>
        <sz val="9"/>
        <rFont val="Arial"/>
        <family val="0"/>
        <charset val="1"/>
      </rPr>
      <t xml:space="preserve">(.cpp)</t>
    </r>
    <r>
      <rPr>
        <sz val="9"/>
        <rFont val="WenQuanYi Zen Hei"/>
        <family val="2"/>
      </rPr>
      <t xml:space="preserve">がどこにも存在しない。呼び出すとリンクエラーになる可能性が高い。</t>
    </r>
  </si>
  <si>
    <r>
      <rPr>
        <sz val="9"/>
        <rFont val="Arial"/>
        <family val="0"/>
        <charset val="1"/>
      </rPr>
      <t xml:space="preserve">FacadeRequiredCapabilityMap </t>
    </r>
    <r>
      <rPr>
        <sz val="9"/>
        <rFont val="WenQuanYi Zen Hei"/>
        <family val="2"/>
      </rPr>
      <t xml:space="preserve">はテストが皆無で、コンストラクタ内のドメイン解決ロジックもコメントで「暫定」と明記された未完成の実装。</t>
    </r>
  </si>
  <si>
    <r>
      <rPr>
        <sz val="9"/>
        <rFont val="Arial"/>
        <family val="0"/>
        <charset val="1"/>
      </rPr>
      <t xml:space="preserve">FacadeAccessor </t>
    </r>
    <r>
      <rPr>
        <sz val="9"/>
        <rFont val="WenQuanYi Zen Hei"/>
        <family val="2"/>
      </rPr>
      <t xml:space="preserve">はテストファイルからの参照が一件もなく、完全に未テスト。</t>
    </r>
  </si>
  <si>
    <t xml:space="preserve">[C]</t>
  </si>
  <si>
    <r>
      <rPr>
        <sz val="9"/>
        <rFont val="Arial"/>
        <family val="0"/>
        <charset val="1"/>
      </rPr>
      <t xml:space="preserve">CapabilityChangeSet / FacadeChangeSet </t>
    </r>
    <r>
      <rPr>
        <sz val="9"/>
        <rFont val="WenQuanYi Zen Hei"/>
        <family val="2"/>
      </rPr>
      <t xml:space="preserve">を実際に生成・使用している本番コードが見当たらず、デッドコードの可能性がある。</t>
    </r>
  </si>
  <si>
    <r>
      <rPr>
        <sz val="9"/>
        <rFont val="Arial"/>
        <family val="0"/>
        <charset val="1"/>
      </rPr>
      <t xml:space="preserve">CapabilityManager/FacadeManager </t>
    </r>
    <r>
      <rPr>
        <sz val="9"/>
        <rFont val="WenQuanYi Zen Hei"/>
        <family val="2"/>
      </rPr>
      <t xml:space="preserve">には「起動時に全</t>
    </r>
    <r>
      <rPr>
        <sz val="9"/>
        <rFont val="Arial"/>
        <family val="0"/>
        <charset val="1"/>
      </rPr>
      <t xml:space="preserve">Capability/Facade</t>
    </r>
    <r>
      <rPr>
        <sz val="9"/>
        <rFont val="WenQuanYi Zen Hei"/>
        <family val="2"/>
      </rPr>
      <t xml:space="preserve">を事前計算する」ような </t>
    </r>
    <r>
      <rPr>
        <sz val="9"/>
        <rFont val="Arial"/>
        <family val="0"/>
        <charset val="1"/>
      </rPr>
      <t xml:space="preserve">Seed/Initialize</t>
    </r>
    <r>
      <rPr>
        <sz val="9"/>
        <rFont val="WenQuanYi Zen Hei"/>
        <family val="2"/>
      </rPr>
      <t xml:space="preserve">系メソッドが存在しない。イベント駆動（依存</t>
    </r>
    <r>
      <rPr>
        <sz val="9"/>
        <rFont val="Arial"/>
        <family val="0"/>
        <charset val="1"/>
      </rPr>
      <t xml:space="preserve">DataItem</t>
    </r>
    <r>
      <rPr>
        <sz val="9"/>
        <rFont val="WenQuanYi Zen Hei"/>
        <family val="2"/>
      </rPr>
      <t xml:space="preserve">の変更時のみ）のため、一度も変更イベントが発生しない依存関係を持つ</t>
    </r>
    <r>
      <rPr>
        <sz val="9"/>
        <rFont val="Arial"/>
        <family val="0"/>
        <charset val="1"/>
      </rPr>
      <t xml:space="preserve">Capability/Facade</t>
    </r>
    <r>
      <rPr>
        <sz val="9"/>
        <rFont val="WenQuanYi Zen Hei"/>
        <family val="2"/>
      </rPr>
      <t xml:space="preserve">は、宣言上の初期値すら </t>
    </r>
    <r>
      <rPr>
        <sz val="9"/>
        <rFont val="Arial"/>
        <family val="0"/>
        <charset val="1"/>
      </rPr>
      <t xml:space="preserve">Store </t>
    </r>
    <r>
      <rPr>
        <sz val="9"/>
        <rFont val="WenQuanYi Zen Hei"/>
        <family val="2"/>
      </rPr>
      <t xml:space="preserve">されないまま存在しないエントリとなる。</t>
    </r>
  </si>
  <si>
    <r>
      <rPr>
        <sz val="9"/>
        <rFont val="Arial"/>
        <family val="0"/>
        <charset val="1"/>
      </rPr>
      <t xml:space="preserve">CapabilityWorkerTest.GenerateOperationReadyFacade </t>
    </r>
    <r>
      <rPr>
        <sz val="9"/>
        <rFont val="WenQuanYi Zen Hei"/>
        <family val="2"/>
      </rPr>
      <t xml:space="preserve">は「依存</t>
    </r>
    <r>
      <rPr>
        <sz val="9"/>
        <rFont val="Arial"/>
        <family val="0"/>
        <charset val="1"/>
      </rPr>
      <t xml:space="preserve">Capability</t>
    </r>
    <r>
      <rPr>
        <sz val="9"/>
        <rFont val="WenQuanYi Zen Hei"/>
        <family val="2"/>
      </rPr>
      <t xml:space="preserve">の一部が未計算」という状態を実際に踏んでいるが、その時点の中間結果は </t>
    </r>
    <r>
      <rPr>
        <sz val="9"/>
        <rFont val="Arial"/>
        <family val="0"/>
        <charset val="1"/>
      </rPr>
      <t xml:space="preserve">drain </t>
    </r>
    <r>
      <rPr>
        <sz val="9"/>
        <rFont val="WenQuanYi Zen Hei"/>
        <family val="2"/>
      </rPr>
      <t xml:space="preserve">されるだけでアサーションされておらず、実質未検証。</t>
    </r>
  </si>
  <si>
    <r>
      <rPr>
        <sz val="9"/>
        <rFont val="Arial"/>
        <family val="0"/>
        <charset val="1"/>
      </rPr>
      <t xml:space="preserve">PrinterAFacadeBuilders::BuildEnvironmentReadyFacade </t>
    </r>
    <r>
      <rPr>
        <sz val="9"/>
        <rFont val="WenQuanYi Zen Hei"/>
        <family val="2"/>
      </rPr>
      <t xml:space="preserve">は </t>
    </r>
    <r>
      <rPr>
        <sz val="9"/>
        <rFont val="Arial"/>
        <family val="0"/>
        <charset val="1"/>
      </rPr>
      <t xml:space="preserve">Environment capability </t>
    </r>
    <r>
      <rPr>
        <sz val="9"/>
        <rFont val="WenQuanYi Zen Hei"/>
        <family val="2"/>
      </rPr>
      <t xml:space="preserve">が未計算のとき、デフォルト値</t>
    </r>
    <r>
      <rPr>
        <sz val="9"/>
        <rFont val="Arial"/>
        <family val="0"/>
        <charset val="1"/>
      </rPr>
      <t xml:space="preserve">(0)</t>
    </r>
    <r>
      <rPr>
        <sz val="9"/>
        <rFont val="WenQuanYi Zen Hei"/>
        <family val="2"/>
      </rPr>
      <t xml:space="preserve">により「</t>
    </r>
    <r>
      <rPr>
        <sz val="9"/>
        <rFont val="Arial"/>
        <family val="0"/>
        <charset val="1"/>
      </rPr>
      <t xml:space="preserve">true(</t>
    </r>
    <r>
      <rPr>
        <sz val="9"/>
        <rFont val="WenQuanYi Zen Hei"/>
        <family val="2"/>
      </rPr>
      <t xml:space="preserve">準備完了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」に倒れるフェイルオープンな挙動になっている。安全性の観点で意図した挙動か要確認。</t>
    </r>
  </si>
  <si>
    <t xml:space="preserve">[D]</t>
  </si>
  <si>
    <r>
      <rPr>
        <sz val="9"/>
        <rFont val="WenQuanYi Zen Hei"/>
        <family val="2"/>
      </rPr>
      <t xml:space="preserve">詳細は「カバレッジ一覧」シートの</t>
    </r>
    <r>
      <rPr>
        <sz val="9"/>
        <rFont val="Arial"/>
        <family val="0"/>
        <charset val="1"/>
      </rPr>
      <t xml:space="preserve">Publisher</t>
    </r>
    <r>
      <rPr>
        <sz val="9"/>
        <rFont val="WenQuanYi Zen Hei"/>
        <family val="2"/>
      </rPr>
      <t xml:space="preserve">行を参照。</t>
    </r>
    <r>
      <rPr>
        <sz val="9"/>
        <rFont val="Arial"/>
        <family val="0"/>
        <charset val="1"/>
      </rPr>
      <t xml:space="preserve">CallbackQueue/SubscriberMailboxManager</t>
    </r>
    <r>
      <rPr>
        <sz val="9"/>
        <rFont val="WenQuanYi Zen Hei"/>
        <family val="2"/>
      </rPr>
      <t xml:space="preserve">等の</t>
    </r>
    <r>
      <rPr>
        <sz val="9"/>
        <rFont val="Arial"/>
        <family val="0"/>
        <charset val="1"/>
      </rPr>
      <t xml:space="preserve">Shutdown</t>
    </r>
    <r>
      <rPr>
        <sz val="9"/>
        <rFont val="WenQuanYi Zen Hei"/>
        <family val="2"/>
      </rPr>
      <t xml:space="preserve">後</t>
    </r>
    <r>
      <rPr>
        <sz val="9"/>
        <rFont val="Arial"/>
        <family val="0"/>
        <charset val="1"/>
      </rPr>
      <t xml:space="preserve">Push</t>
    </r>
    <r>
      <rPr>
        <sz val="9"/>
        <rFont val="WenQuanYi Zen Hei"/>
        <family val="2"/>
      </rPr>
      <t xml:space="preserve">・並行アクセス系のテストが手薄。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</si>
</sst>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3864"/>
      <name val="WenQuanYi Zen Hei"/>
      <family val="2"/>
    </font>
    <font>
      <i val="true"/>
      <sz val="10"/>
      <color rgb="FF595959"/>
      <name val="WenQuanYi Zen Hei"/>
      <family val="2"/>
    </font>
    <font>
      <i val="true"/>
      <sz val="10"/>
      <color rgb="FF595959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2"/>
      <color rgb="FF203864"/>
      <name val="WenQuanYi Zen Hei"/>
      <family val="2"/>
    </font>
    <font>
      <b val="true"/>
      <sz val="12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2"/>
      <name val="WenQuanYi Zen Hei"/>
      <family val="2"/>
    </font>
    <font>
      <b val="true"/>
      <sz val="10"/>
      <name val="WenQuanYi Zen Hei"/>
      <family val="2"/>
    </font>
    <font>
      <b val="true"/>
      <sz val="10"/>
      <color rgb="FFFFFFFF"/>
      <name val="WenQuanYi Zen Hei"/>
      <family val="2"/>
    </font>
    <font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20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0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10" min="4" style="0" width="12"/>
    <col collapsed="false" customWidth="true" hidden="true" outlineLevel="0" max="13" min="13" style="0" width="3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6" t="s">
        <v>5</v>
      </c>
    </row>
    <row r="8" customFormat="false" ht="15" hidden="false" customHeight="false" outlineLevel="0" collapsed="false">
      <c r="B8" s="7" t="s">
        <v>6</v>
      </c>
      <c r="C8" s="6" t="s">
        <v>7</v>
      </c>
    </row>
    <row r="9" customFormat="false" ht="15" hidden="false" customHeight="false" outlineLevel="0" collapsed="false">
      <c r="B9" s="8" t="s">
        <v>8</v>
      </c>
      <c r="C9" s="6" t="s">
        <v>9</v>
      </c>
    </row>
    <row r="10" customFormat="false" ht="15" hidden="false" customHeight="false" outlineLevel="0" collapsed="false">
      <c r="B10" s="9" t="s">
        <v>10</v>
      </c>
      <c r="C10" s="6" t="s">
        <v>11</v>
      </c>
    </row>
    <row r="12" customFormat="false" ht="15" hidden="false" customHeight="false" outlineLevel="0" collapsed="false">
      <c r="B12" s="4" t="s">
        <v>12</v>
      </c>
    </row>
    <row r="13" customFormat="false" ht="15" hidden="false" customHeight="false" outlineLevel="0" collapsed="false">
      <c r="B13" s="10" t="s">
        <v>13</v>
      </c>
      <c r="C13" s="11" t="s">
        <v>14</v>
      </c>
    </row>
    <row r="14" customFormat="false" ht="15" hidden="false" customHeight="false" outlineLevel="0" collapsed="false">
      <c r="B14" s="10" t="s">
        <v>15</v>
      </c>
      <c r="C14" s="11" t="s">
        <v>16</v>
      </c>
    </row>
    <row r="17" customFormat="false" ht="15" hidden="false" customHeight="false" outlineLevel="0" collapsed="false">
      <c r="B17" s="4" t="s">
        <v>17</v>
      </c>
    </row>
    <row r="18" customFormat="false" ht="15" hidden="false" customHeight="false" outlineLevel="0" collapsed="false">
      <c r="B18" s="12" t="s">
        <v>18</v>
      </c>
      <c r="C18" s="12" t="s">
        <v>19</v>
      </c>
      <c r="D18" s="12" t="s">
        <v>20</v>
      </c>
      <c r="E18" s="12" t="s">
        <v>21</v>
      </c>
      <c r="F18" s="12" t="s">
        <v>22</v>
      </c>
      <c r="G18" s="12" t="s">
        <v>23</v>
      </c>
      <c r="H18" s="12" t="s">
        <v>24</v>
      </c>
      <c r="I18" s="12" t="s">
        <v>25</v>
      </c>
      <c r="J18" s="12" t="s">
        <v>26</v>
      </c>
      <c r="K18" s="12" t="s">
        <v>27</v>
      </c>
    </row>
    <row r="19" customFormat="false" ht="15" hidden="false" customHeight="false" outlineLevel="0" collapsed="false">
      <c r="B19" s="13" t="s">
        <v>28</v>
      </c>
      <c r="C19" s="14" t="n">
        <f aca="false">COUNTIF(カバレッジ一覧!$I:$I,$M19)</f>
        <v>98</v>
      </c>
      <c r="D19" s="14" t="n">
        <f aca="false">COUNTIFS(カバレッジ一覧!$I:$I,$M19,カバレッジ一覧!$D:$D,"⭕")</f>
        <v>42</v>
      </c>
      <c r="E19" s="14" t="n">
        <f aca="false">COUNTIFS(カバレッジ一覧!$I:$I,$M19,カバレッジ一覧!$D:$D,"△")</f>
        <v>10</v>
      </c>
      <c r="F19" s="14" t="n">
        <f aca="false">COUNTIFS(カバレッジ一覧!$I:$I,$M19,カバレッジ一覧!$D:$D,"❌")</f>
        <v>43</v>
      </c>
      <c r="G19" s="14" t="n">
        <f aca="false">COUNTIFS(カバレッジ一覧!$I:$I,$M19,カバレッジ一覧!$D:$D,"ー")</f>
        <v>3</v>
      </c>
      <c r="H19" s="14" t="n">
        <f aca="false">COUNTIFS(カバレッジ一覧!$I:$I,$M19,カバレッジ一覧!$F:$F,"⭕")</f>
        <v>12</v>
      </c>
      <c r="I19" s="14" t="n">
        <f aca="false">COUNTIFS(カバレッジ一覧!$I:$I,$M19,カバレッジ一覧!$F:$F,"△")</f>
        <v>0</v>
      </c>
      <c r="J19" s="14" t="n">
        <f aca="false">COUNTIFS(カバレッジ一覧!$I:$I,$M19,カバレッジ一覧!$F:$F,"❌")</f>
        <v>83</v>
      </c>
      <c r="K19" s="14" t="n">
        <f aca="false">COUNTIFS(カバレッジ一覧!$I:$I,$M19,カバレッジ一覧!$F:$F,"ー")</f>
        <v>3</v>
      </c>
      <c r="M19" s="15" t="s">
        <v>29</v>
      </c>
    </row>
    <row r="20" customFormat="false" ht="15" hidden="false" customHeight="false" outlineLevel="0" collapsed="false">
      <c r="B20" s="13" t="s">
        <v>30</v>
      </c>
      <c r="C20" s="14" t="n">
        <f aca="false">COUNTIF(カバレッジ一覧!$I:$I,$M20)</f>
        <v>44</v>
      </c>
      <c r="D20" s="14" t="n">
        <f aca="false">COUNTIFS(カバレッジ一覧!$I:$I,$M20,カバレッジ一覧!$D:$D,"⭕")</f>
        <v>20</v>
      </c>
      <c r="E20" s="14" t="n">
        <f aca="false">COUNTIFS(カバレッジ一覧!$I:$I,$M20,カバレッジ一覧!$D:$D,"△")</f>
        <v>6</v>
      </c>
      <c r="F20" s="14" t="n">
        <f aca="false">COUNTIFS(カバレッジ一覧!$I:$I,$M20,カバレッジ一覧!$D:$D,"❌")</f>
        <v>17</v>
      </c>
      <c r="G20" s="14" t="n">
        <f aca="false">COUNTIFS(カバレッジ一覧!$I:$I,$M20,カバレッジ一覧!$D:$D,"ー")</f>
        <v>1</v>
      </c>
      <c r="H20" s="14" t="n">
        <f aca="false">COUNTIFS(カバレッジ一覧!$I:$I,$M20,カバレッジ一覧!$F:$F,"⭕")</f>
        <v>12</v>
      </c>
      <c r="I20" s="14" t="n">
        <f aca="false">COUNTIFS(カバレッジ一覧!$I:$I,$M20,カバレッジ一覧!$F:$F,"△")</f>
        <v>1</v>
      </c>
      <c r="J20" s="14" t="n">
        <f aca="false">COUNTIFS(カバレッジ一覧!$I:$I,$M20,カバレッジ一覧!$F:$F,"❌")</f>
        <v>30</v>
      </c>
      <c r="K20" s="14" t="n">
        <f aca="false">COUNTIFS(カバレッジ一覧!$I:$I,$M20,カバレッジ一覧!$F:$F,"ー")</f>
        <v>1</v>
      </c>
      <c r="M20" s="15" t="s">
        <v>31</v>
      </c>
    </row>
    <row r="21" customFormat="false" ht="15" hidden="false" customHeight="false" outlineLevel="0" collapsed="false">
      <c r="B21" s="13" t="s">
        <v>32</v>
      </c>
      <c r="C21" s="14" t="n">
        <f aca="false">COUNTIF(カバレッジ一覧!$I:$I,$M21)</f>
        <v>31</v>
      </c>
      <c r="D21" s="14" t="n">
        <f aca="false">COUNTIFS(カバレッジ一覧!$I:$I,$M21,カバレッジ一覧!$D:$D,"⭕")</f>
        <v>10</v>
      </c>
      <c r="E21" s="14" t="n">
        <f aca="false">COUNTIFS(カバレッジ一覧!$I:$I,$M21,カバレッジ一覧!$D:$D,"△")</f>
        <v>11</v>
      </c>
      <c r="F21" s="14" t="n">
        <f aca="false">COUNTIFS(カバレッジ一覧!$I:$I,$M21,カバレッジ一覧!$D:$D,"❌")</f>
        <v>6</v>
      </c>
      <c r="G21" s="14" t="n">
        <f aca="false">COUNTIFS(カバレッジ一覧!$I:$I,$M21,カバレッジ一覧!$D:$D,"ー")</f>
        <v>4</v>
      </c>
      <c r="H21" s="14" t="n">
        <f aca="false">COUNTIFS(カバレッジ一覧!$I:$I,$M21,カバレッジ一覧!$F:$F,"⭕")</f>
        <v>9</v>
      </c>
      <c r="I21" s="14" t="n">
        <f aca="false">COUNTIFS(カバレッジ一覧!$I:$I,$M21,カバレッジ一覧!$F:$F,"△")</f>
        <v>2</v>
      </c>
      <c r="J21" s="14" t="n">
        <f aca="false">COUNTIFS(カバレッジ一覧!$I:$I,$M21,カバレッジ一覧!$F:$F,"❌")</f>
        <v>16</v>
      </c>
      <c r="K21" s="14" t="n">
        <f aca="false">COUNTIFS(カバレッジ一覧!$I:$I,$M21,カバレッジ一覧!$F:$F,"ー")</f>
        <v>4</v>
      </c>
      <c r="M21" s="15" t="s">
        <v>33</v>
      </c>
    </row>
    <row r="22" customFormat="false" ht="15" hidden="false" customHeight="false" outlineLevel="0" collapsed="false">
      <c r="B22" s="13" t="s">
        <v>34</v>
      </c>
      <c r="C22" s="14" t="n">
        <f aca="false">COUNTIF(カバレッジ一覧!$I:$I,$M22)</f>
        <v>50</v>
      </c>
      <c r="D22" s="14" t="n">
        <f aca="false">COUNTIFS(カバレッジ一覧!$I:$I,$M22,カバレッジ一覧!$D:$D,"⭕")</f>
        <v>33</v>
      </c>
      <c r="E22" s="14" t="n">
        <f aca="false">COUNTIFS(カバレッジ一覧!$I:$I,$M22,カバレッジ一覧!$D:$D,"△")</f>
        <v>4</v>
      </c>
      <c r="F22" s="14" t="n">
        <f aca="false">COUNTIFS(カバレッジ一覧!$I:$I,$M22,カバレッジ一覧!$D:$D,"❌")</f>
        <v>5</v>
      </c>
      <c r="G22" s="14" t="n">
        <f aca="false">COUNTIFS(カバレッジ一覧!$I:$I,$M22,カバレッジ一覧!$D:$D,"ー")</f>
        <v>8</v>
      </c>
      <c r="H22" s="14" t="n">
        <f aca="false">COUNTIFS(カバレッジ一覧!$I:$I,$M22,カバレッジ一覧!$F:$F,"⭕")</f>
        <v>14</v>
      </c>
      <c r="I22" s="14" t="n">
        <f aca="false">COUNTIFS(カバレッジ一覧!$I:$I,$M22,カバレッジ一覧!$F:$F,"△")</f>
        <v>2</v>
      </c>
      <c r="J22" s="14" t="n">
        <f aca="false">COUNTIFS(カバレッジ一覧!$I:$I,$M22,カバレッジ一覧!$F:$F,"❌")</f>
        <v>26</v>
      </c>
      <c r="K22" s="14" t="n">
        <f aca="false">COUNTIFS(カバレッジ一覧!$I:$I,$M22,カバレッジ一覧!$F:$F,"ー")</f>
        <v>8</v>
      </c>
      <c r="M22" s="15" t="s">
        <v>35</v>
      </c>
    </row>
    <row r="23" customFormat="false" ht="15" hidden="false" customHeight="false" outlineLevel="0" collapsed="false">
      <c r="B23" s="16" t="s">
        <v>36</v>
      </c>
      <c r="C23" s="17" t="n">
        <f aca="false">SUM(C19:C22)</f>
        <v>223</v>
      </c>
      <c r="D23" s="17" t="n">
        <f aca="false">SUM(D19:D22)</f>
        <v>105</v>
      </c>
      <c r="E23" s="17" t="n">
        <f aca="false">SUM(E19:E22)</f>
        <v>31</v>
      </c>
      <c r="F23" s="17" t="n">
        <f aca="false">SUM(F19:F22)</f>
        <v>71</v>
      </c>
      <c r="G23" s="17" t="n">
        <f aca="false">SUM(G19:G22)</f>
        <v>16</v>
      </c>
      <c r="H23" s="17" t="n">
        <f aca="false">SUM(H19:H22)</f>
        <v>47</v>
      </c>
      <c r="I23" s="17" t="n">
        <f aca="false">SUM(I19:I22)</f>
        <v>5</v>
      </c>
      <c r="J23" s="17" t="n">
        <f aca="false">SUM(J19:J22)</f>
        <v>155</v>
      </c>
      <c r="K23" s="17" t="n">
        <f aca="false">SUM(K19:K22)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5" min="5" style="0" width="42"/>
    <col collapsed="false" customWidth="true" hidden="false" outlineLevel="0" max="6" min="6" style="0" width="7"/>
    <col collapsed="false" customWidth="true" hidden="false" outlineLevel="0" max="7" min="7" style="0" width="46"/>
    <col collapsed="false" customWidth="true" hidden="false" outlineLevel="0" max="8" min="8" style="0" width="58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18" t="s">
        <v>37</v>
      </c>
      <c r="B1" s="18" t="s">
        <v>38</v>
      </c>
      <c r="C1" s="18" t="s">
        <v>39</v>
      </c>
      <c r="D1" s="18" t="s">
        <v>40</v>
      </c>
      <c r="E1" s="18" t="s">
        <v>41</v>
      </c>
      <c r="F1" s="18" t="s">
        <v>42</v>
      </c>
      <c r="G1" s="18" t="s">
        <v>43</v>
      </c>
      <c r="H1" s="18" t="s">
        <v>44</v>
      </c>
      <c r="I1" s="18" t="s">
        <v>18</v>
      </c>
    </row>
    <row r="2" customFormat="false" ht="63.75" hidden="false" customHeight="true" outlineLevel="0" collapsed="false">
      <c r="A2" s="19" t="s">
        <v>45</v>
      </c>
      <c r="B2" s="19" t="s">
        <v>46</v>
      </c>
      <c r="C2" s="19" t="s">
        <v>47</v>
      </c>
      <c r="D2" s="20" t="s">
        <v>4</v>
      </c>
      <c r="E2" s="19" t="s">
        <v>48</v>
      </c>
      <c r="F2" s="20" t="s">
        <v>4</v>
      </c>
      <c r="G2" s="19" t="s">
        <v>49</v>
      </c>
      <c r="H2" s="19" t="s">
        <v>50</v>
      </c>
      <c r="I2" s="19" t="s">
        <v>29</v>
      </c>
    </row>
    <row r="3" customFormat="false" ht="27.75" hidden="false" customHeight="true" outlineLevel="0" collapsed="false">
      <c r="A3" s="19" t="s">
        <v>51</v>
      </c>
      <c r="B3" s="19" t="s">
        <v>52</v>
      </c>
      <c r="C3" s="19" t="s">
        <v>53</v>
      </c>
      <c r="D3" s="20" t="s">
        <v>4</v>
      </c>
      <c r="E3" s="19" t="s">
        <v>54</v>
      </c>
      <c r="F3" s="21" t="s">
        <v>8</v>
      </c>
      <c r="G3" s="19"/>
      <c r="H3" s="19" t="s">
        <v>55</v>
      </c>
      <c r="I3" s="19" t="s">
        <v>29</v>
      </c>
    </row>
    <row r="4" customFormat="false" ht="27.75" hidden="false" customHeight="true" outlineLevel="0" collapsed="false">
      <c r="A4" s="19" t="s">
        <v>51</v>
      </c>
      <c r="B4" s="19" t="s">
        <v>52</v>
      </c>
      <c r="C4" s="19" t="s">
        <v>56</v>
      </c>
      <c r="D4" s="20" t="s">
        <v>4</v>
      </c>
      <c r="E4" s="19" t="s">
        <v>57</v>
      </c>
      <c r="F4" s="21" t="s">
        <v>8</v>
      </c>
      <c r="G4" s="19"/>
      <c r="H4" s="19" t="s">
        <v>58</v>
      </c>
      <c r="I4" s="19" t="s">
        <v>29</v>
      </c>
    </row>
    <row r="5" customFormat="false" ht="27.75" hidden="false" customHeight="true" outlineLevel="0" collapsed="false">
      <c r="A5" s="19" t="s">
        <v>51</v>
      </c>
      <c r="B5" s="19" t="s">
        <v>52</v>
      </c>
      <c r="C5" s="19" t="s">
        <v>59</v>
      </c>
      <c r="D5" s="21" t="s">
        <v>8</v>
      </c>
      <c r="E5" s="19" t="s">
        <v>60</v>
      </c>
      <c r="F5" s="21" t="s">
        <v>8</v>
      </c>
      <c r="G5" s="19"/>
      <c r="H5" s="19" t="s">
        <v>61</v>
      </c>
      <c r="I5" s="19" t="s">
        <v>29</v>
      </c>
    </row>
    <row r="6" customFormat="false" ht="15.75" hidden="false" customHeight="true" outlineLevel="0" collapsed="false">
      <c r="A6" s="19" t="s">
        <v>51</v>
      </c>
      <c r="B6" s="19" t="s">
        <v>52</v>
      </c>
      <c r="C6" s="19" t="s">
        <v>62</v>
      </c>
      <c r="D6" s="20" t="s">
        <v>4</v>
      </c>
      <c r="E6" s="19" t="s">
        <v>63</v>
      </c>
      <c r="F6" s="21" t="s">
        <v>8</v>
      </c>
      <c r="G6" s="19"/>
      <c r="H6" s="19" t="s">
        <v>64</v>
      </c>
      <c r="I6" s="19" t="s">
        <v>29</v>
      </c>
    </row>
    <row r="7" customFormat="false" ht="27.75" hidden="false" customHeight="true" outlineLevel="0" collapsed="false">
      <c r="A7" s="19" t="s">
        <v>51</v>
      </c>
      <c r="B7" s="19" t="s">
        <v>52</v>
      </c>
      <c r="C7" s="19" t="s">
        <v>65</v>
      </c>
      <c r="D7" s="20" t="s">
        <v>4</v>
      </c>
      <c r="E7" s="19" t="s">
        <v>66</v>
      </c>
      <c r="F7" s="21" t="s">
        <v>8</v>
      </c>
      <c r="G7" s="19"/>
      <c r="H7" s="19" t="s">
        <v>67</v>
      </c>
      <c r="I7" s="19" t="s">
        <v>29</v>
      </c>
    </row>
    <row r="8" customFormat="false" ht="15.75" hidden="false" customHeight="true" outlineLevel="0" collapsed="false">
      <c r="A8" s="19" t="s">
        <v>51</v>
      </c>
      <c r="B8" s="19" t="s">
        <v>52</v>
      </c>
      <c r="C8" s="19" t="s">
        <v>68</v>
      </c>
      <c r="D8" s="20" t="s">
        <v>4</v>
      </c>
      <c r="E8" s="19" t="s">
        <v>69</v>
      </c>
      <c r="F8" s="21" t="s">
        <v>8</v>
      </c>
      <c r="G8" s="19"/>
      <c r="H8" s="19" t="s">
        <v>70</v>
      </c>
      <c r="I8" s="19" t="s">
        <v>29</v>
      </c>
    </row>
    <row r="9" customFormat="false" ht="15.75" hidden="false" customHeight="true" outlineLevel="0" collapsed="false">
      <c r="A9" s="19" t="s">
        <v>51</v>
      </c>
      <c r="B9" s="19" t="s">
        <v>52</v>
      </c>
      <c r="C9" s="19" t="s">
        <v>71</v>
      </c>
      <c r="D9" s="20" t="s">
        <v>4</v>
      </c>
      <c r="E9" s="19" t="s">
        <v>72</v>
      </c>
      <c r="F9" s="21" t="s">
        <v>8</v>
      </c>
      <c r="G9" s="19"/>
      <c r="H9" s="19" t="s">
        <v>73</v>
      </c>
      <c r="I9" s="19" t="s">
        <v>29</v>
      </c>
    </row>
    <row r="10" customFormat="false" ht="27.75" hidden="false" customHeight="true" outlineLevel="0" collapsed="false">
      <c r="A10" s="19" t="s">
        <v>51</v>
      </c>
      <c r="B10" s="19" t="s">
        <v>52</v>
      </c>
      <c r="C10" s="19" t="s">
        <v>74</v>
      </c>
      <c r="D10" s="21" t="s">
        <v>8</v>
      </c>
      <c r="E10" s="19" t="s">
        <v>75</v>
      </c>
      <c r="F10" s="21" t="s">
        <v>8</v>
      </c>
      <c r="G10" s="19"/>
      <c r="H10" s="19" t="s">
        <v>76</v>
      </c>
      <c r="I10" s="19" t="s">
        <v>29</v>
      </c>
    </row>
    <row r="11" customFormat="false" ht="15.75" hidden="false" customHeight="true" outlineLevel="0" collapsed="false">
      <c r="A11" s="19" t="s">
        <v>51</v>
      </c>
      <c r="B11" s="19" t="s">
        <v>52</v>
      </c>
      <c r="C11" s="19" t="s">
        <v>77</v>
      </c>
      <c r="D11" s="21" t="s">
        <v>8</v>
      </c>
      <c r="E11" s="19" t="s">
        <v>78</v>
      </c>
      <c r="F11" s="21" t="s">
        <v>8</v>
      </c>
      <c r="G11" s="19"/>
      <c r="H11" s="19" t="s">
        <v>79</v>
      </c>
      <c r="I11" s="19" t="s">
        <v>29</v>
      </c>
    </row>
    <row r="12" customFormat="false" ht="27.75" hidden="false" customHeight="true" outlineLevel="0" collapsed="false">
      <c r="A12" s="19" t="s">
        <v>51</v>
      </c>
      <c r="B12" s="19" t="s">
        <v>52</v>
      </c>
      <c r="C12" s="19" t="s">
        <v>80</v>
      </c>
      <c r="D12" s="21" t="s">
        <v>8</v>
      </c>
      <c r="E12" s="19" t="s">
        <v>81</v>
      </c>
      <c r="F12" s="21" t="s">
        <v>8</v>
      </c>
      <c r="G12" s="19"/>
      <c r="H12" s="19" t="s">
        <v>82</v>
      </c>
      <c r="I12" s="19" t="s">
        <v>29</v>
      </c>
    </row>
    <row r="13" customFormat="false" ht="15.75" hidden="false" customHeight="true" outlineLevel="0" collapsed="false">
      <c r="A13" s="19" t="s">
        <v>51</v>
      </c>
      <c r="B13" s="19" t="s">
        <v>52</v>
      </c>
      <c r="C13" s="19" t="s">
        <v>83</v>
      </c>
      <c r="D13" s="21" t="s">
        <v>8</v>
      </c>
      <c r="E13" s="19" t="s">
        <v>84</v>
      </c>
      <c r="F13" s="21" t="s">
        <v>8</v>
      </c>
      <c r="G13" s="19"/>
      <c r="H13" s="19" t="s">
        <v>85</v>
      </c>
      <c r="I13" s="19" t="s">
        <v>29</v>
      </c>
    </row>
    <row r="14" customFormat="false" ht="27.75" hidden="false" customHeight="true" outlineLevel="0" collapsed="false">
      <c r="A14" s="19" t="s">
        <v>51</v>
      </c>
      <c r="B14" s="19" t="s">
        <v>52</v>
      </c>
      <c r="C14" s="19" t="s">
        <v>86</v>
      </c>
      <c r="D14" s="20" t="s">
        <v>4</v>
      </c>
      <c r="E14" s="19" t="s">
        <v>87</v>
      </c>
      <c r="F14" s="21" t="s">
        <v>8</v>
      </c>
      <c r="G14" s="19"/>
      <c r="H14" s="19" t="s">
        <v>88</v>
      </c>
      <c r="I14" s="19" t="s">
        <v>29</v>
      </c>
    </row>
    <row r="15" customFormat="false" ht="15.75" hidden="false" customHeight="true" outlineLevel="0" collapsed="false">
      <c r="A15" s="19" t="s">
        <v>51</v>
      </c>
      <c r="B15" s="19" t="s">
        <v>52</v>
      </c>
      <c r="C15" s="19" t="s">
        <v>89</v>
      </c>
      <c r="D15" s="20" t="s">
        <v>4</v>
      </c>
      <c r="E15" s="19" t="s">
        <v>90</v>
      </c>
      <c r="F15" s="21" t="s">
        <v>8</v>
      </c>
      <c r="G15" s="19"/>
      <c r="H15" s="19" t="s">
        <v>85</v>
      </c>
      <c r="I15" s="19" t="s">
        <v>29</v>
      </c>
    </row>
    <row r="16" customFormat="false" ht="15.75" hidden="false" customHeight="true" outlineLevel="0" collapsed="false">
      <c r="A16" s="19" t="s">
        <v>51</v>
      </c>
      <c r="B16" s="19" t="s">
        <v>52</v>
      </c>
      <c r="C16" s="19" t="s">
        <v>91</v>
      </c>
      <c r="D16" s="21" t="s">
        <v>8</v>
      </c>
      <c r="E16" s="19" t="s">
        <v>92</v>
      </c>
      <c r="F16" s="21" t="s">
        <v>8</v>
      </c>
      <c r="G16" s="19"/>
      <c r="H16" s="19" t="s">
        <v>93</v>
      </c>
      <c r="I16" s="19" t="s">
        <v>29</v>
      </c>
    </row>
    <row r="17" customFormat="false" ht="15.75" hidden="false" customHeight="true" outlineLevel="0" collapsed="false">
      <c r="A17" s="19" t="s">
        <v>51</v>
      </c>
      <c r="B17" s="19" t="s">
        <v>52</v>
      </c>
      <c r="C17" s="19" t="s">
        <v>94</v>
      </c>
      <c r="D17" s="21" t="s">
        <v>8</v>
      </c>
      <c r="E17" s="19" t="s">
        <v>92</v>
      </c>
      <c r="F17" s="21" t="s">
        <v>8</v>
      </c>
      <c r="G17" s="19"/>
      <c r="H17" s="19" t="s">
        <v>85</v>
      </c>
      <c r="I17" s="19" t="s">
        <v>29</v>
      </c>
    </row>
    <row r="18" customFormat="false" ht="15.75" hidden="false" customHeight="true" outlineLevel="0" collapsed="false">
      <c r="A18" s="19" t="s">
        <v>51</v>
      </c>
      <c r="B18" s="19" t="s">
        <v>52</v>
      </c>
      <c r="C18" s="19" t="s">
        <v>95</v>
      </c>
      <c r="D18" s="20" t="s">
        <v>4</v>
      </c>
      <c r="E18" s="19" t="s">
        <v>96</v>
      </c>
      <c r="F18" s="21" t="s">
        <v>8</v>
      </c>
      <c r="G18" s="19"/>
      <c r="H18" s="19" t="s">
        <v>97</v>
      </c>
      <c r="I18" s="19" t="s">
        <v>29</v>
      </c>
    </row>
    <row r="19" customFormat="false" ht="15.75" hidden="false" customHeight="true" outlineLevel="0" collapsed="false">
      <c r="A19" s="19" t="s">
        <v>51</v>
      </c>
      <c r="B19" s="19" t="s">
        <v>52</v>
      </c>
      <c r="C19" s="19" t="s">
        <v>98</v>
      </c>
      <c r="D19" s="20" t="s">
        <v>4</v>
      </c>
      <c r="E19" s="19" t="s">
        <v>96</v>
      </c>
      <c r="F19" s="21" t="s">
        <v>8</v>
      </c>
      <c r="G19" s="19"/>
      <c r="H19" s="19" t="s">
        <v>85</v>
      </c>
      <c r="I19" s="19" t="s">
        <v>29</v>
      </c>
    </row>
    <row r="20" customFormat="false" ht="15.75" hidden="false" customHeight="true" outlineLevel="0" collapsed="false">
      <c r="A20" s="19" t="s">
        <v>51</v>
      </c>
      <c r="B20" s="19" t="s">
        <v>52</v>
      </c>
      <c r="C20" s="19" t="s">
        <v>99</v>
      </c>
      <c r="D20" s="20" t="s">
        <v>4</v>
      </c>
      <c r="E20" s="19" t="s">
        <v>100</v>
      </c>
      <c r="F20" s="21" t="s">
        <v>8</v>
      </c>
      <c r="G20" s="19"/>
      <c r="H20" s="19" t="s">
        <v>101</v>
      </c>
      <c r="I20" s="19" t="s">
        <v>29</v>
      </c>
    </row>
    <row r="21" customFormat="false" ht="15.75" hidden="false" customHeight="true" outlineLevel="0" collapsed="false">
      <c r="A21" s="19" t="s">
        <v>51</v>
      </c>
      <c r="B21" s="19" t="s">
        <v>52</v>
      </c>
      <c r="C21" s="19" t="s">
        <v>102</v>
      </c>
      <c r="D21" s="20" t="s">
        <v>4</v>
      </c>
      <c r="E21" s="19" t="s">
        <v>100</v>
      </c>
      <c r="F21" s="21" t="s">
        <v>8</v>
      </c>
      <c r="G21" s="19"/>
      <c r="H21" s="19" t="s">
        <v>85</v>
      </c>
      <c r="I21" s="19" t="s">
        <v>29</v>
      </c>
    </row>
    <row r="22" customFormat="false" ht="63.75" hidden="false" customHeight="true" outlineLevel="0" collapsed="false">
      <c r="A22" s="19" t="s">
        <v>51</v>
      </c>
      <c r="B22" s="19" t="s">
        <v>52</v>
      </c>
      <c r="C22" s="19" t="s">
        <v>103</v>
      </c>
      <c r="D22" s="20" t="s">
        <v>4</v>
      </c>
      <c r="E22" s="19" t="s">
        <v>104</v>
      </c>
      <c r="F22" s="20" t="s">
        <v>4</v>
      </c>
      <c r="G22" s="19" t="s">
        <v>105</v>
      </c>
      <c r="H22" s="19" t="s">
        <v>106</v>
      </c>
      <c r="I22" s="19" t="s">
        <v>29</v>
      </c>
    </row>
    <row r="23" customFormat="false" ht="51.75" hidden="false" customHeight="true" outlineLevel="0" collapsed="false">
      <c r="A23" s="19" t="s">
        <v>107</v>
      </c>
      <c r="B23" s="19" t="s">
        <v>108</v>
      </c>
      <c r="C23" s="19" t="s">
        <v>109</v>
      </c>
      <c r="D23" s="22" t="s">
        <v>6</v>
      </c>
      <c r="E23" s="19" t="s">
        <v>110</v>
      </c>
      <c r="F23" s="21" t="s">
        <v>8</v>
      </c>
      <c r="G23" s="19"/>
      <c r="H23" s="19" t="s">
        <v>111</v>
      </c>
      <c r="I23" s="19" t="s">
        <v>29</v>
      </c>
    </row>
    <row r="24" customFormat="false" ht="15.75" hidden="false" customHeight="true" outlineLevel="0" collapsed="false">
      <c r="A24" s="19" t="s">
        <v>107</v>
      </c>
      <c r="B24" s="19" t="s">
        <v>108</v>
      </c>
      <c r="C24" s="19" t="s">
        <v>112</v>
      </c>
      <c r="D24" s="21" t="s">
        <v>8</v>
      </c>
      <c r="E24" s="19" t="s">
        <v>113</v>
      </c>
      <c r="F24" s="21" t="s">
        <v>8</v>
      </c>
      <c r="G24" s="19"/>
      <c r="H24" s="19" t="s">
        <v>85</v>
      </c>
      <c r="I24" s="19" t="s">
        <v>29</v>
      </c>
    </row>
    <row r="25" customFormat="false" ht="15.75" hidden="false" customHeight="true" outlineLevel="0" collapsed="false">
      <c r="A25" s="19" t="s">
        <v>107</v>
      </c>
      <c r="B25" s="19" t="s">
        <v>108</v>
      </c>
      <c r="C25" s="19" t="s">
        <v>114</v>
      </c>
      <c r="D25" s="21" t="s">
        <v>8</v>
      </c>
      <c r="E25" s="19" t="s">
        <v>113</v>
      </c>
      <c r="F25" s="21" t="s">
        <v>8</v>
      </c>
      <c r="G25" s="19"/>
      <c r="H25" s="19" t="s">
        <v>85</v>
      </c>
      <c r="I25" s="19" t="s">
        <v>29</v>
      </c>
    </row>
    <row r="26" customFormat="false" ht="15.75" hidden="false" customHeight="true" outlineLevel="0" collapsed="false">
      <c r="A26" s="19" t="s">
        <v>107</v>
      </c>
      <c r="B26" s="19" t="s">
        <v>108</v>
      </c>
      <c r="C26" s="19" t="s">
        <v>115</v>
      </c>
      <c r="D26" s="21" t="s">
        <v>8</v>
      </c>
      <c r="E26" s="19" t="s">
        <v>113</v>
      </c>
      <c r="F26" s="21" t="s">
        <v>8</v>
      </c>
      <c r="G26" s="19"/>
      <c r="H26" s="19" t="s">
        <v>85</v>
      </c>
      <c r="I26" s="19" t="s">
        <v>29</v>
      </c>
    </row>
    <row r="27" customFormat="false" ht="15.75" hidden="false" customHeight="true" outlineLevel="0" collapsed="false">
      <c r="A27" s="19" t="s">
        <v>107</v>
      </c>
      <c r="B27" s="19" t="s">
        <v>108</v>
      </c>
      <c r="C27" s="19" t="s">
        <v>116</v>
      </c>
      <c r="D27" s="21" t="s">
        <v>8</v>
      </c>
      <c r="E27" s="19" t="s">
        <v>113</v>
      </c>
      <c r="F27" s="21" t="s">
        <v>8</v>
      </c>
      <c r="G27" s="19"/>
      <c r="H27" s="19" t="s">
        <v>85</v>
      </c>
      <c r="I27" s="19" t="s">
        <v>29</v>
      </c>
    </row>
    <row r="28" customFormat="false" ht="15.75" hidden="false" customHeight="true" outlineLevel="0" collapsed="false">
      <c r="A28" s="19" t="s">
        <v>107</v>
      </c>
      <c r="B28" s="19" t="s">
        <v>108</v>
      </c>
      <c r="C28" s="19" t="s">
        <v>117</v>
      </c>
      <c r="D28" s="21" t="s">
        <v>8</v>
      </c>
      <c r="E28" s="19" t="s">
        <v>113</v>
      </c>
      <c r="F28" s="21" t="s">
        <v>8</v>
      </c>
      <c r="G28" s="19"/>
      <c r="H28" s="19" t="s">
        <v>85</v>
      </c>
      <c r="I28" s="19" t="s">
        <v>29</v>
      </c>
    </row>
    <row r="29" customFormat="false" ht="27.75" hidden="false" customHeight="true" outlineLevel="0" collapsed="false">
      <c r="A29" s="19" t="s">
        <v>107</v>
      </c>
      <c r="B29" s="19" t="s">
        <v>108</v>
      </c>
      <c r="C29" s="19" t="s">
        <v>118</v>
      </c>
      <c r="D29" s="20" t="s">
        <v>4</v>
      </c>
      <c r="E29" s="19" t="s">
        <v>119</v>
      </c>
      <c r="F29" s="20" t="s">
        <v>4</v>
      </c>
      <c r="G29" s="19" t="s">
        <v>120</v>
      </c>
      <c r="H29" s="19" t="s">
        <v>121</v>
      </c>
      <c r="I29" s="19" t="s">
        <v>29</v>
      </c>
    </row>
    <row r="30" customFormat="false" ht="15.75" hidden="false" customHeight="true" outlineLevel="0" collapsed="false">
      <c r="A30" s="19" t="s">
        <v>107</v>
      </c>
      <c r="B30" s="19" t="s">
        <v>108</v>
      </c>
      <c r="C30" s="19" t="s">
        <v>122</v>
      </c>
      <c r="D30" s="21" t="s">
        <v>8</v>
      </c>
      <c r="E30" s="19" t="s">
        <v>123</v>
      </c>
      <c r="F30" s="21" t="s">
        <v>8</v>
      </c>
      <c r="G30" s="19"/>
      <c r="H30" s="19" t="s">
        <v>124</v>
      </c>
      <c r="I30" s="19" t="s">
        <v>29</v>
      </c>
    </row>
    <row r="31" customFormat="false" ht="15.75" hidden="false" customHeight="true" outlineLevel="0" collapsed="false">
      <c r="A31" s="19" t="s">
        <v>107</v>
      </c>
      <c r="B31" s="19" t="s">
        <v>108</v>
      </c>
      <c r="C31" s="19" t="s">
        <v>125</v>
      </c>
      <c r="D31" s="21" t="s">
        <v>8</v>
      </c>
      <c r="E31" s="19" t="s">
        <v>126</v>
      </c>
      <c r="F31" s="21" t="s">
        <v>8</v>
      </c>
      <c r="G31" s="19"/>
      <c r="H31" s="19" t="s">
        <v>127</v>
      </c>
      <c r="I31" s="19" t="s">
        <v>29</v>
      </c>
    </row>
    <row r="32" customFormat="false" ht="27.75" hidden="false" customHeight="true" outlineLevel="0" collapsed="false">
      <c r="A32" s="19" t="s">
        <v>107</v>
      </c>
      <c r="B32" s="19" t="s">
        <v>108</v>
      </c>
      <c r="C32" s="19" t="s">
        <v>128</v>
      </c>
      <c r="D32" s="20" t="s">
        <v>4</v>
      </c>
      <c r="E32" s="19" t="s">
        <v>129</v>
      </c>
      <c r="F32" s="21" t="s">
        <v>8</v>
      </c>
      <c r="G32" s="19"/>
      <c r="H32" s="19" t="s">
        <v>85</v>
      </c>
      <c r="I32" s="19" t="s">
        <v>29</v>
      </c>
    </row>
    <row r="33" customFormat="false" ht="15.75" hidden="false" customHeight="true" outlineLevel="0" collapsed="false">
      <c r="A33" s="19" t="s">
        <v>107</v>
      </c>
      <c r="B33" s="19" t="s">
        <v>108</v>
      </c>
      <c r="C33" s="19" t="s">
        <v>130</v>
      </c>
      <c r="D33" s="21" t="s">
        <v>8</v>
      </c>
      <c r="E33" s="19" t="s">
        <v>126</v>
      </c>
      <c r="F33" s="21" t="s">
        <v>8</v>
      </c>
      <c r="G33" s="19"/>
      <c r="H33" s="19" t="s">
        <v>131</v>
      </c>
      <c r="I33" s="19" t="s">
        <v>29</v>
      </c>
    </row>
    <row r="34" customFormat="false" ht="15.75" hidden="false" customHeight="true" outlineLevel="0" collapsed="false">
      <c r="A34" s="19" t="s">
        <v>107</v>
      </c>
      <c r="B34" s="19" t="s">
        <v>108</v>
      </c>
      <c r="C34" s="19" t="s">
        <v>132</v>
      </c>
      <c r="D34" s="21" t="s">
        <v>8</v>
      </c>
      <c r="E34" s="19" t="s">
        <v>84</v>
      </c>
      <c r="F34" s="21" t="s">
        <v>8</v>
      </c>
      <c r="G34" s="19"/>
      <c r="H34" s="19" t="s">
        <v>85</v>
      </c>
      <c r="I34" s="19" t="s">
        <v>29</v>
      </c>
    </row>
    <row r="35" customFormat="false" ht="15.75" hidden="false" customHeight="true" outlineLevel="0" collapsed="false">
      <c r="A35" s="19" t="s">
        <v>107</v>
      </c>
      <c r="B35" s="19" t="s">
        <v>108</v>
      </c>
      <c r="C35" s="19" t="s">
        <v>133</v>
      </c>
      <c r="D35" s="21" t="s">
        <v>8</v>
      </c>
      <c r="E35" s="19" t="s">
        <v>134</v>
      </c>
      <c r="F35" s="21" t="s">
        <v>8</v>
      </c>
      <c r="G35" s="19"/>
      <c r="H35" s="19" t="s">
        <v>135</v>
      </c>
      <c r="I35" s="19" t="s">
        <v>29</v>
      </c>
    </row>
    <row r="36" customFormat="false" ht="15.75" hidden="false" customHeight="true" outlineLevel="0" collapsed="false">
      <c r="A36" s="19" t="s">
        <v>107</v>
      </c>
      <c r="B36" s="19" t="s">
        <v>108</v>
      </c>
      <c r="C36" s="19" t="s">
        <v>136</v>
      </c>
      <c r="D36" s="21" t="s">
        <v>8</v>
      </c>
      <c r="E36" s="19" t="s">
        <v>84</v>
      </c>
      <c r="F36" s="21" t="s">
        <v>8</v>
      </c>
      <c r="G36" s="19"/>
      <c r="H36" s="19" t="s">
        <v>85</v>
      </c>
      <c r="I36" s="19" t="s">
        <v>29</v>
      </c>
    </row>
    <row r="37" customFormat="false" ht="27.75" hidden="false" customHeight="true" outlineLevel="0" collapsed="false">
      <c r="A37" s="19" t="s">
        <v>107</v>
      </c>
      <c r="B37" s="19" t="s">
        <v>108</v>
      </c>
      <c r="C37" s="19" t="s">
        <v>137</v>
      </c>
      <c r="D37" s="20" t="s">
        <v>4</v>
      </c>
      <c r="E37" s="19" t="s">
        <v>138</v>
      </c>
      <c r="F37" s="21" t="s">
        <v>8</v>
      </c>
      <c r="G37" s="19"/>
      <c r="H37" s="19" t="s">
        <v>139</v>
      </c>
      <c r="I37" s="19" t="s">
        <v>29</v>
      </c>
    </row>
    <row r="38" customFormat="false" ht="39.75" hidden="false" customHeight="true" outlineLevel="0" collapsed="false">
      <c r="A38" s="19" t="s">
        <v>107</v>
      </c>
      <c r="B38" s="19" t="s">
        <v>108</v>
      </c>
      <c r="C38" s="19" t="s">
        <v>140</v>
      </c>
      <c r="D38" s="22" t="s">
        <v>6</v>
      </c>
      <c r="E38" s="19" t="s">
        <v>141</v>
      </c>
      <c r="F38" s="21" t="s">
        <v>8</v>
      </c>
      <c r="G38" s="19"/>
      <c r="H38" s="19" t="s">
        <v>142</v>
      </c>
      <c r="I38" s="19" t="s">
        <v>29</v>
      </c>
    </row>
    <row r="39" customFormat="false" ht="27.75" hidden="false" customHeight="true" outlineLevel="0" collapsed="false">
      <c r="A39" s="19" t="s">
        <v>107</v>
      </c>
      <c r="B39" s="19" t="s">
        <v>108</v>
      </c>
      <c r="C39" s="19" t="s">
        <v>143</v>
      </c>
      <c r="D39" s="21" t="s">
        <v>8</v>
      </c>
      <c r="E39" s="19" t="s">
        <v>144</v>
      </c>
      <c r="F39" s="21" t="s">
        <v>8</v>
      </c>
      <c r="G39" s="19"/>
      <c r="H39" s="19" t="s">
        <v>145</v>
      </c>
      <c r="I39" s="19" t="s">
        <v>29</v>
      </c>
    </row>
    <row r="40" customFormat="false" ht="15.75" hidden="false" customHeight="true" outlineLevel="0" collapsed="false">
      <c r="A40" s="19" t="s">
        <v>107</v>
      </c>
      <c r="B40" s="19" t="s">
        <v>108</v>
      </c>
      <c r="C40" s="19" t="s">
        <v>146</v>
      </c>
      <c r="D40" s="21" t="s">
        <v>8</v>
      </c>
      <c r="E40" s="19" t="s">
        <v>92</v>
      </c>
      <c r="F40" s="21" t="s">
        <v>8</v>
      </c>
      <c r="G40" s="19"/>
      <c r="H40" s="19" t="s">
        <v>147</v>
      </c>
      <c r="I40" s="19" t="s">
        <v>29</v>
      </c>
    </row>
    <row r="41" customFormat="false" ht="15.75" hidden="false" customHeight="true" outlineLevel="0" collapsed="false">
      <c r="A41" s="19" t="s">
        <v>107</v>
      </c>
      <c r="B41" s="19" t="s">
        <v>108</v>
      </c>
      <c r="C41" s="19" t="s">
        <v>148</v>
      </c>
      <c r="D41" s="21" t="s">
        <v>8</v>
      </c>
      <c r="E41" s="19" t="s">
        <v>92</v>
      </c>
      <c r="F41" s="21" t="s">
        <v>8</v>
      </c>
      <c r="G41" s="19"/>
      <c r="H41" s="19" t="s">
        <v>149</v>
      </c>
      <c r="I41" s="19" t="s">
        <v>29</v>
      </c>
    </row>
    <row r="42" customFormat="false" ht="27.75" hidden="false" customHeight="true" outlineLevel="0" collapsed="false">
      <c r="A42" s="19" t="s">
        <v>107</v>
      </c>
      <c r="B42" s="19" t="s">
        <v>108</v>
      </c>
      <c r="C42" s="19" t="s">
        <v>150</v>
      </c>
      <c r="D42" s="20" t="s">
        <v>4</v>
      </c>
      <c r="E42" s="19" t="s">
        <v>151</v>
      </c>
      <c r="F42" s="21" t="s">
        <v>8</v>
      </c>
      <c r="G42" s="19"/>
      <c r="H42" s="19" t="s">
        <v>152</v>
      </c>
      <c r="I42" s="19" t="s">
        <v>29</v>
      </c>
    </row>
    <row r="43" customFormat="false" ht="39.75" hidden="false" customHeight="true" outlineLevel="0" collapsed="false">
      <c r="A43" s="19" t="s">
        <v>107</v>
      </c>
      <c r="B43" s="19" t="s">
        <v>108</v>
      </c>
      <c r="C43" s="19" t="s">
        <v>153</v>
      </c>
      <c r="D43" s="21" t="s">
        <v>8</v>
      </c>
      <c r="E43" s="19" t="s">
        <v>154</v>
      </c>
      <c r="F43" s="21" t="s">
        <v>8</v>
      </c>
      <c r="G43" s="19"/>
      <c r="H43" s="19" t="s">
        <v>155</v>
      </c>
      <c r="I43" s="19" t="s">
        <v>29</v>
      </c>
    </row>
    <row r="44" customFormat="false" ht="51.75" hidden="false" customHeight="true" outlineLevel="0" collapsed="false">
      <c r="A44" s="19" t="s">
        <v>156</v>
      </c>
      <c r="B44" s="19" t="s">
        <v>157</v>
      </c>
      <c r="C44" s="19" t="s">
        <v>158</v>
      </c>
      <c r="D44" s="20" t="s">
        <v>4</v>
      </c>
      <c r="E44" s="19" t="s">
        <v>159</v>
      </c>
      <c r="F44" s="21" t="s">
        <v>8</v>
      </c>
      <c r="G44" s="19"/>
      <c r="H44" s="19" t="s">
        <v>160</v>
      </c>
      <c r="I44" s="19" t="s">
        <v>29</v>
      </c>
    </row>
    <row r="45" customFormat="false" ht="27.75" hidden="false" customHeight="true" outlineLevel="0" collapsed="false">
      <c r="A45" s="19" t="s">
        <v>156</v>
      </c>
      <c r="B45" s="19" t="s">
        <v>157</v>
      </c>
      <c r="C45" s="19" t="s">
        <v>161</v>
      </c>
      <c r="D45" s="20" t="s">
        <v>4</v>
      </c>
      <c r="E45" s="19" t="s">
        <v>162</v>
      </c>
      <c r="F45" s="20" t="s">
        <v>4</v>
      </c>
      <c r="G45" s="19" t="s">
        <v>163</v>
      </c>
      <c r="H45" s="19" t="s">
        <v>164</v>
      </c>
      <c r="I45" s="19" t="s">
        <v>29</v>
      </c>
    </row>
    <row r="46" customFormat="false" ht="27.75" hidden="false" customHeight="true" outlineLevel="0" collapsed="false">
      <c r="A46" s="19" t="s">
        <v>156</v>
      </c>
      <c r="B46" s="19" t="s">
        <v>157</v>
      </c>
      <c r="C46" s="19" t="s">
        <v>165</v>
      </c>
      <c r="D46" s="20" t="s">
        <v>4</v>
      </c>
      <c r="E46" s="19" t="s">
        <v>166</v>
      </c>
      <c r="F46" s="21" t="s">
        <v>8</v>
      </c>
      <c r="G46" s="19"/>
      <c r="H46" s="19" t="s">
        <v>167</v>
      </c>
      <c r="I46" s="19" t="s">
        <v>29</v>
      </c>
    </row>
    <row r="47" customFormat="false" ht="39.75" hidden="false" customHeight="true" outlineLevel="0" collapsed="false">
      <c r="A47" s="19" t="s">
        <v>168</v>
      </c>
      <c r="B47" s="19" t="s">
        <v>169</v>
      </c>
      <c r="C47" s="19" t="s">
        <v>170</v>
      </c>
      <c r="D47" s="20" t="s">
        <v>4</v>
      </c>
      <c r="E47" s="19" t="s">
        <v>171</v>
      </c>
      <c r="F47" s="21" t="s">
        <v>8</v>
      </c>
      <c r="G47" s="19"/>
      <c r="H47" s="19" t="s">
        <v>172</v>
      </c>
      <c r="I47" s="19" t="s">
        <v>29</v>
      </c>
    </row>
    <row r="48" customFormat="false" ht="27.75" hidden="false" customHeight="true" outlineLevel="0" collapsed="false">
      <c r="A48" s="19" t="s">
        <v>168</v>
      </c>
      <c r="B48" s="19" t="s">
        <v>169</v>
      </c>
      <c r="C48" s="19" t="s">
        <v>173</v>
      </c>
      <c r="D48" s="21" t="s">
        <v>8</v>
      </c>
      <c r="E48" s="19" t="s">
        <v>174</v>
      </c>
      <c r="F48" s="21" t="s">
        <v>8</v>
      </c>
      <c r="G48" s="19"/>
      <c r="H48" s="19" t="s">
        <v>175</v>
      </c>
      <c r="I48" s="19" t="s">
        <v>29</v>
      </c>
    </row>
    <row r="49" customFormat="false" ht="39.75" hidden="false" customHeight="true" outlineLevel="0" collapsed="false">
      <c r="A49" s="19" t="s">
        <v>168</v>
      </c>
      <c r="B49" s="19" t="s">
        <v>169</v>
      </c>
      <c r="C49" s="19" t="s">
        <v>176</v>
      </c>
      <c r="D49" s="21" t="s">
        <v>8</v>
      </c>
      <c r="E49" s="19" t="s">
        <v>177</v>
      </c>
      <c r="F49" s="21" t="s">
        <v>8</v>
      </c>
      <c r="G49" s="19"/>
      <c r="H49" s="19" t="s">
        <v>178</v>
      </c>
      <c r="I49" s="19" t="s">
        <v>29</v>
      </c>
    </row>
    <row r="50" customFormat="false" ht="27.75" hidden="false" customHeight="true" outlineLevel="0" collapsed="false">
      <c r="A50" s="19" t="s">
        <v>168</v>
      </c>
      <c r="B50" s="19" t="s">
        <v>169</v>
      </c>
      <c r="C50" s="19" t="s">
        <v>179</v>
      </c>
      <c r="D50" s="21" t="s">
        <v>8</v>
      </c>
      <c r="E50" s="19" t="s">
        <v>180</v>
      </c>
      <c r="F50" s="21" t="s">
        <v>8</v>
      </c>
      <c r="G50" s="19"/>
      <c r="H50" s="19" t="s">
        <v>181</v>
      </c>
      <c r="I50" s="19" t="s">
        <v>29</v>
      </c>
    </row>
    <row r="51" customFormat="false" ht="39.75" hidden="false" customHeight="true" outlineLevel="0" collapsed="false">
      <c r="A51" s="19" t="s">
        <v>168</v>
      </c>
      <c r="B51" s="19" t="s">
        <v>169</v>
      </c>
      <c r="C51" s="19" t="s">
        <v>182</v>
      </c>
      <c r="D51" s="20" t="s">
        <v>4</v>
      </c>
      <c r="E51" s="19" t="s">
        <v>183</v>
      </c>
      <c r="F51" s="21" t="s">
        <v>8</v>
      </c>
      <c r="G51" s="19"/>
      <c r="H51" s="19" t="s">
        <v>184</v>
      </c>
      <c r="I51" s="19" t="s">
        <v>29</v>
      </c>
    </row>
    <row r="52" customFormat="false" ht="39.75" hidden="false" customHeight="true" outlineLevel="0" collapsed="false">
      <c r="A52" s="19" t="s">
        <v>185</v>
      </c>
      <c r="B52" s="19" t="s">
        <v>186</v>
      </c>
      <c r="C52" s="19" t="s">
        <v>187</v>
      </c>
      <c r="D52" s="20" t="s">
        <v>4</v>
      </c>
      <c r="E52" s="19" t="s">
        <v>188</v>
      </c>
      <c r="F52" s="21" t="s">
        <v>8</v>
      </c>
      <c r="G52" s="19" t="s">
        <v>189</v>
      </c>
      <c r="H52" s="19" t="s">
        <v>190</v>
      </c>
      <c r="I52" s="19" t="s">
        <v>29</v>
      </c>
    </row>
    <row r="53" customFormat="false" ht="51.75" hidden="false" customHeight="true" outlineLevel="0" collapsed="false">
      <c r="A53" s="19" t="s">
        <v>185</v>
      </c>
      <c r="B53" s="19" t="s">
        <v>186</v>
      </c>
      <c r="C53" s="19" t="s">
        <v>191</v>
      </c>
      <c r="D53" s="20" t="s">
        <v>4</v>
      </c>
      <c r="E53" s="19" t="s">
        <v>192</v>
      </c>
      <c r="F53" s="20" t="s">
        <v>4</v>
      </c>
      <c r="G53" s="19" t="s">
        <v>193</v>
      </c>
      <c r="H53" s="19" t="s">
        <v>85</v>
      </c>
      <c r="I53" s="19" t="s">
        <v>29</v>
      </c>
    </row>
    <row r="54" customFormat="false" ht="51.75" hidden="false" customHeight="true" outlineLevel="0" collapsed="false">
      <c r="A54" s="19" t="s">
        <v>185</v>
      </c>
      <c r="B54" s="19" t="s">
        <v>186</v>
      </c>
      <c r="C54" s="19" t="s">
        <v>194</v>
      </c>
      <c r="D54" s="21" t="s">
        <v>8</v>
      </c>
      <c r="E54" s="19" t="s">
        <v>195</v>
      </c>
      <c r="F54" s="21" t="s">
        <v>8</v>
      </c>
      <c r="G54" s="19"/>
      <c r="H54" s="19" t="s">
        <v>196</v>
      </c>
      <c r="I54" s="19" t="s">
        <v>29</v>
      </c>
    </row>
    <row r="55" customFormat="false" ht="15.75" hidden="false" customHeight="true" outlineLevel="0" collapsed="false">
      <c r="A55" s="19" t="s">
        <v>185</v>
      </c>
      <c r="B55" s="19" t="s">
        <v>186</v>
      </c>
      <c r="C55" s="19" t="s">
        <v>197</v>
      </c>
      <c r="D55" s="21" t="s">
        <v>8</v>
      </c>
      <c r="E55" s="19" t="s">
        <v>198</v>
      </c>
      <c r="F55" s="21" t="s">
        <v>8</v>
      </c>
      <c r="G55" s="19"/>
      <c r="H55" s="19" t="s">
        <v>199</v>
      </c>
      <c r="I55" s="19" t="s">
        <v>29</v>
      </c>
    </row>
    <row r="56" customFormat="false" ht="39.75" hidden="false" customHeight="true" outlineLevel="0" collapsed="false">
      <c r="A56" s="19" t="s">
        <v>185</v>
      </c>
      <c r="B56" s="19" t="s">
        <v>186</v>
      </c>
      <c r="C56" s="19" t="s">
        <v>200</v>
      </c>
      <c r="D56" s="21" t="s">
        <v>8</v>
      </c>
      <c r="E56" s="19" t="s">
        <v>201</v>
      </c>
      <c r="F56" s="21" t="s">
        <v>8</v>
      </c>
      <c r="G56" s="19"/>
      <c r="H56" s="19" t="s">
        <v>202</v>
      </c>
      <c r="I56" s="19" t="s">
        <v>29</v>
      </c>
    </row>
    <row r="57" customFormat="false" ht="51.75" hidden="false" customHeight="true" outlineLevel="0" collapsed="false">
      <c r="A57" s="19" t="s">
        <v>185</v>
      </c>
      <c r="B57" s="19" t="s">
        <v>203</v>
      </c>
      <c r="C57" s="19" t="s">
        <v>204</v>
      </c>
      <c r="D57" s="22" t="s">
        <v>6</v>
      </c>
      <c r="E57" s="19" t="s">
        <v>205</v>
      </c>
      <c r="F57" s="21" t="s">
        <v>8</v>
      </c>
      <c r="G57" s="19"/>
      <c r="H57" s="19" t="s">
        <v>206</v>
      </c>
      <c r="I57" s="19" t="s">
        <v>29</v>
      </c>
    </row>
    <row r="58" customFormat="false" ht="39.75" hidden="false" customHeight="true" outlineLevel="0" collapsed="false">
      <c r="A58" s="19" t="s">
        <v>207</v>
      </c>
      <c r="B58" s="19" t="s">
        <v>208</v>
      </c>
      <c r="C58" s="19" t="s">
        <v>209</v>
      </c>
      <c r="D58" s="22" t="s">
        <v>6</v>
      </c>
      <c r="E58" s="19" t="s">
        <v>210</v>
      </c>
      <c r="F58" s="21" t="s">
        <v>8</v>
      </c>
      <c r="G58" s="19"/>
      <c r="H58" s="19" t="s">
        <v>211</v>
      </c>
      <c r="I58" s="19" t="s">
        <v>29</v>
      </c>
    </row>
    <row r="59" customFormat="false" ht="39.75" hidden="false" customHeight="true" outlineLevel="0" collapsed="false">
      <c r="A59" s="19" t="s">
        <v>207</v>
      </c>
      <c r="B59" s="19" t="s">
        <v>208</v>
      </c>
      <c r="C59" s="19" t="s">
        <v>212</v>
      </c>
      <c r="D59" s="22" t="s">
        <v>6</v>
      </c>
      <c r="E59" s="19" t="s">
        <v>213</v>
      </c>
      <c r="F59" s="21" t="s">
        <v>8</v>
      </c>
      <c r="G59" s="19"/>
      <c r="H59" s="19" t="s">
        <v>214</v>
      </c>
      <c r="I59" s="19" t="s">
        <v>29</v>
      </c>
    </row>
    <row r="60" customFormat="false" ht="27.75" hidden="false" customHeight="true" outlineLevel="0" collapsed="false">
      <c r="A60" s="19" t="s">
        <v>207</v>
      </c>
      <c r="B60" s="19" t="s">
        <v>208</v>
      </c>
      <c r="C60" s="19" t="s">
        <v>215</v>
      </c>
      <c r="D60" s="22" t="s">
        <v>6</v>
      </c>
      <c r="E60" s="19" t="s">
        <v>216</v>
      </c>
      <c r="F60" s="21" t="s">
        <v>8</v>
      </c>
      <c r="G60" s="19"/>
      <c r="H60" s="19" t="s">
        <v>217</v>
      </c>
      <c r="I60" s="19" t="s">
        <v>29</v>
      </c>
    </row>
    <row r="61" customFormat="false" ht="27.75" hidden="false" customHeight="true" outlineLevel="0" collapsed="false">
      <c r="A61" s="19" t="s">
        <v>207</v>
      </c>
      <c r="B61" s="19" t="s">
        <v>208</v>
      </c>
      <c r="C61" s="19" t="s">
        <v>218</v>
      </c>
      <c r="D61" s="21" t="s">
        <v>8</v>
      </c>
      <c r="E61" s="19" t="s">
        <v>219</v>
      </c>
      <c r="F61" s="21" t="s">
        <v>8</v>
      </c>
      <c r="G61" s="19"/>
      <c r="H61" s="19" t="s">
        <v>220</v>
      </c>
      <c r="I61" s="19" t="s">
        <v>29</v>
      </c>
    </row>
    <row r="62" customFormat="false" ht="15.75" hidden="false" customHeight="true" outlineLevel="0" collapsed="false">
      <c r="A62" s="19" t="s">
        <v>207</v>
      </c>
      <c r="B62" s="19" t="s">
        <v>208</v>
      </c>
      <c r="C62" s="19" t="s">
        <v>221</v>
      </c>
      <c r="D62" s="21" t="s">
        <v>8</v>
      </c>
      <c r="E62" s="19" t="s">
        <v>222</v>
      </c>
      <c r="F62" s="21" t="s">
        <v>8</v>
      </c>
      <c r="G62" s="19"/>
      <c r="H62" s="19" t="s">
        <v>223</v>
      </c>
      <c r="I62" s="19" t="s">
        <v>29</v>
      </c>
    </row>
    <row r="63" customFormat="false" ht="27.75" hidden="false" customHeight="true" outlineLevel="0" collapsed="false">
      <c r="A63" s="19" t="s">
        <v>207</v>
      </c>
      <c r="B63" s="19" t="s">
        <v>208</v>
      </c>
      <c r="C63" s="19" t="s">
        <v>224</v>
      </c>
      <c r="D63" s="22" t="s">
        <v>6</v>
      </c>
      <c r="E63" s="19" t="s">
        <v>225</v>
      </c>
      <c r="F63" s="21" t="s">
        <v>8</v>
      </c>
      <c r="G63" s="19"/>
      <c r="H63" s="19" t="s">
        <v>226</v>
      </c>
      <c r="I63" s="19" t="s">
        <v>29</v>
      </c>
    </row>
    <row r="64" customFormat="false" ht="27.75" hidden="false" customHeight="true" outlineLevel="0" collapsed="false">
      <c r="A64" s="19" t="s">
        <v>207</v>
      </c>
      <c r="B64" s="19" t="s">
        <v>208</v>
      </c>
      <c r="C64" s="19" t="s">
        <v>227</v>
      </c>
      <c r="D64" s="21" t="s">
        <v>8</v>
      </c>
      <c r="E64" s="19" t="s">
        <v>228</v>
      </c>
      <c r="F64" s="21" t="s">
        <v>8</v>
      </c>
      <c r="G64" s="19"/>
      <c r="H64" s="19" t="s">
        <v>229</v>
      </c>
      <c r="I64" s="19" t="s">
        <v>29</v>
      </c>
    </row>
    <row r="65" customFormat="false" ht="39.75" hidden="false" customHeight="true" outlineLevel="0" collapsed="false">
      <c r="A65" s="19" t="s">
        <v>207</v>
      </c>
      <c r="B65" s="19" t="s">
        <v>208</v>
      </c>
      <c r="C65" s="19" t="s">
        <v>230</v>
      </c>
      <c r="D65" s="20" t="s">
        <v>4</v>
      </c>
      <c r="E65" s="19" t="s">
        <v>231</v>
      </c>
      <c r="F65" s="21" t="s">
        <v>8</v>
      </c>
      <c r="G65" s="19"/>
      <c r="H65" s="19" t="s">
        <v>232</v>
      </c>
      <c r="I65" s="19" t="s">
        <v>29</v>
      </c>
    </row>
    <row r="66" customFormat="false" ht="27.75" hidden="false" customHeight="true" outlineLevel="0" collapsed="false">
      <c r="A66" s="19" t="s">
        <v>207</v>
      </c>
      <c r="B66" s="19" t="s">
        <v>208</v>
      </c>
      <c r="C66" s="19" t="s">
        <v>233</v>
      </c>
      <c r="D66" s="23" t="s">
        <v>10</v>
      </c>
      <c r="E66" s="19" t="s">
        <v>234</v>
      </c>
      <c r="F66" s="23" t="s">
        <v>10</v>
      </c>
      <c r="G66" s="19"/>
      <c r="H66" s="19" t="s">
        <v>235</v>
      </c>
      <c r="I66" s="19" t="s">
        <v>29</v>
      </c>
    </row>
    <row r="67" customFormat="false" ht="15.75" hidden="false" customHeight="true" outlineLevel="0" collapsed="false">
      <c r="A67" s="19" t="s">
        <v>236</v>
      </c>
      <c r="B67" s="19" t="s">
        <v>237</v>
      </c>
      <c r="C67" s="19" t="s">
        <v>238</v>
      </c>
      <c r="D67" s="22" t="s">
        <v>6</v>
      </c>
      <c r="E67" s="19" t="s">
        <v>239</v>
      </c>
      <c r="F67" s="21" t="s">
        <v>8</v>
      </c>
      <c r="G67" s="19"/>
      <c r="H67" s="19" t="s">
        <v>85</v>
      </c>
      <c r="I67" s="19" t="s">
        <v>29</v>
      </c>
    </row>
    <row r="68" customFormat="false" ht="15.75" hidden="false" customHeight="true" outlineLevel="0" collapsed="false">
      <c r="A68" s="19" t="s">
        <v>236</v>
      </c>
      <c r="B68" s="19" t="s">
        <v>237</v>
      </c>
      <c r="C68" s="19" t="s">
        <v>240</v>
      </c>
      <c r="D68" s="21" t="s">
        <v>8</v>
      </c>
      <c r="E68" s="19" t="s">
        <v>241</v>
      </c>
      <c r="F68" s="21" t="s">
        <v>8</v>
      </c>
      <c r="G68" s="19"/>
      <c r="H68" s="19" t="s">
        <v>242</v>
      </c>
      <c r="I68" s="19" t="s">
        <v>29</v>
      </c>
    </row>
    <row r="69" customFormat="false" ht="27.75" hidden="false" customHeight="true" outlineLevel="0" collapsed="false">
      <c r="A69" s="19" t="s">
        <v>236</v>
      </c>
      <c r="B69" s="19" t="s">
        <v>237</v>
      </c>
      <c r="C69" s="19" t="s">
        <v>243</v>
      </c>
      <c r="D69" s="21" t="s">
        <v>8</v>
      </c>
      <c r="E69" s="19" t="s">
        <v>244</v>
      </c>
      <c r="F69" s="21" t="s">
        <v>8</v>
      </c>
      <c r="G69" s="19"/>
      <c r="H69" s="19" t="s">
        <v>245</v>
      </c>
      <c r="I69" s="19" t="s">
        <v>29</v>
      </c>
    </row>
    <row r="70" customFormat="false" ht="15.75" hidden="false" customHeight="true" outlineLevel="0" collapsed="false">
      <c r="A70" s="19" t="s">
        <v>236</v>
      </c>
      <c r="B70" s="19" t="s">
        <v>237</v>
      </c>
      <c r="C70" s="19" t="s">
        <v>246</v>
      </c>
      <c r="D70" s="21" t="s">
        <v>8</v>
      </c>
      <c r="E70" s="19" t="s">
        <v>247</v>
      </c>
      <c r="F70" s="21" t="s">
        <v>8</v>
      </c>
      <c r="G70" s="19"/>
      <c r="H70" s="19" t="s">
        <v>248</v>
      </c>
      <c r="I70" s="19" t="s">
        <v>29</v>
      </c>
    </row>
    <row r="71" customFormat="false" ht="63.75" hidden="false" customHeight="true" outlineLevel="0" collapsed="false">
      <c r="A71" s="19" t="s">
        <v>236</v>
      </c>
      <c r="B71" s="19" t="s">
        <v>237</v>
      </c>
      <c r="C71" s="19" t="s">
        <v>182</v>
      </c>
      <c r="D71" s="20" t="s">
        <v>4</v>
      </c>
      <c r="E71" s="19" t="s">
        <v>249</v>
      </c>
      <c r="F71" s="20" t="s">
        <v>4</v>
      </c>
      <c r="G71" s="19" t="s">
        <v>250</v>
      </c>
      <c r="H71" s="19" t="s">
        <v>251</v>
      </c>
      <c r="I71" s="19" t="s">
        <v>29</v>
      </c>
    </row>
    <row r="72" customFormat="false" ht="39.75" hidden="false" customHeight="true" outlineLevel="0" collapsed="false">
      <c r="A72" s="19" t="s">
        <v>236</v>
      </c>
      <c r="B72" s="19" t="s">
        <v>252</v>
      </c>
      <c r="C72" s="19" t="s">
        <v>253</v>
      </c>
      <c r="D72" s="23" t="s">
        <v>10</v>
      </c>
      <c r="E72" s="19" t="s">
        <v>254</v>
      </c>
      <c r="F72" s="23" t="s">
        <v>10</v>
      </c>
      <c r="G72" s="19"/>
      <c r="H72" s="19" t="s">
        <v>255</v>
      </c>
      <c r="I72" s="19" t="s">
        <v>29</v>
      </c>
    </row>
    <row r="73" customFormat="false" ht="63.75" hidden="false" customHeight="true" outlineLevel="0" collapsed="false">
      <c r="A73" s="19" t="s">
        <v>236</v>
      </c>
      <c r="B73" s="19" t="s">
        <v>256</v>
      </c>
      <c r="C73" s="19" t="s">
        <v>257</v>
      </c>
      <c r="D73" s="23" t="s">
        <v>10</v>
      </c>
      <c r="E73" s="19" t="s">
        <v>258</v>
      </c>
      <c r="F73" s="23" t="s">
        <v>10</v>
      </c>
      <c r="G73" s="19"/>
      <c r="H73" s="19" t="s">
        <v>259</v>
      </c>
      <c r="I73" s="19" t="s">
        <v>29</v>
      </c>
    </row>
    <row r="74" customFormat="false" ht="27.75" hidden="false" customHeight="true" outlineLevel="0" collapsed="false">
      <c r="A74" s="19" t="s">
        <v>260</v>
      </c>
      <c r="B74" s="19" t="s">
        <v>261</v>
      </c>
      <c r="C74" s="19" t="s">
        <v>262</v>
      </c>
      <c r="D74" s="20" t="s">
        <v>4</v>
      </c>
      <c r="E74" s="19" t="s">
        <v>263</v>
      </c>
      <c r="F74" s="21" t="s">
        <v>8</v>
      </c>
      <c r="G74" s="19"/>
      <c r="H74" s="19" t="s">
        <v>264</v>
      </c>
      <c r="I74" s="19" t="s">
        <v>29</v>
      </c>
    </row>
    <row r="75" customFormat="false" ht="15.75" hidden="false" customHeight="true" outlineLevel="0" collapsed="false">
      <c r="A75" s="19" t="s">
        <v>260</v>
      </c>
      <c r="B75" s="19" t="s">
        <v>261</v>
      </c>
      <c r="C75" s="19" t="s">
        <v>265</v>
      </c>
      <c r="D75" s="20" t="s">
        <v>4</v>
      </c>
      <c r="E75" s="19" t="s">
        <v>266</v>
      </c>
      <c r="F75" s="20" t="s">
        <v>4</v>
      </c>
      <c r="G75" s="19" t="s">
        <v>267</v>
      </c>
      <c r="H75" s="19" t="s">
        <v>268</v>
      </c>
      <c r="I75" s="19" t="s">
        <v>29</v>
      </c>
    </row>
    <row r="76" customFormat="false" ht="15.75" hidden="false" customHeight="true" outlineLevel="0" collapsed="false">
      <c r="A76" s="19" t="s">
        <v>260</v>
      </c>
      <c r="B76" s="19" t="s">
        <v>261</v>
      </c>
      <c r="C76" s="19" t="s">
        <v>269</v>
      </c>
      <c r="D76" s="20" t="s">
        <v>4</v>
      </c>
      <c r="E76" s="19" t="s">
        <v>270</v>
      </c>
      <c r="F76" s="21" t="s">
        <v>8</v>
      </c>
      <c r="G76" s="19"/>
      <c r="H76" s="19" t="s">
        <v>271</v>
      </c>
      <c r="I76" s="19" t="s">
        <v>29</v>
      </c>
    </row>
    <row r="77" customFormat="false" ht="39.75" hidden="false" customHeight="true" outlineLevel="0" collapsed="false">
      <c r="A77" s="19" t="s">
        <v>260</v>
      </c>
      <c r="B77" s="19" t="s">
        <v>261</v>
      </c>
      <c r="C77" s="19" t="s">
        <v>272</v>
      </c>
      <c r="D77" s="20" t="s">
        <v>4</v>
      </c>
      <c r="E77" s="19" t="s">
        <v>273</v>
      </c>
      <c r="F77" s="21" t="s">
        <v>8</v>
      </c>
      <c r="G77" s="19"/>
      <c r="H77" s="19" t="s">
        <v>274</v>
      </c>
      <c r="I77" s="19" t="s">
        <v>29</v>
      </c>
    </row>
    <row r="78" customFormat="false" ht="27.75" hidden="false" customHeight="true" outlineLevel="0" collapsed="false">
      <c r="A78" s="19" t="s">
        <v>260</v>
      </c>
      <c r="B78" s="19" t="s">
        <v>261</v>
      </c>
      <c r="C78" s="19" t="s">
        <v>275</v>
      </c>
      <c r="D78" s="20" t="s">
        <v>4</v>
      </c>
      <c r="E78" s="19" t="s">
        <v>276</v>
      </c>
      <c r="F78" s="21" t="s">
        <v>8</v>
      </c>
      <c r="G78" s="19"/>
      <c r="H78" s="19" t="s">
        <v>277</v>
      </c>
      <c r="I78" s="19" t="s">
        <v>29</v>
      </c>
    </row>
    <row r="79" customFormat="false" ht="27.75" hidden="false" customHeight="true" outlineLevel="0" collapsed="false">
      <c r="A79" s="19" t="s">
        <v>260</v>
      </c>
      <c r="B79" s="19" t="s">
        <v>261</v>
      </c>
      <c r="C79" s="19" t="s">
        <v>278</v>
      </c>
      <c r="D79" s="20" t="s">
        <v>4</v>
      </c>
      <c r="E79" s="19" t="s">
        <v>279</v>
      </c>
      <c r="F79" s="21" t="s">
        <v>8</v>
      </c>
      <c r="G79" s="19"/>
      <c r="H79" s="19" t="s">
        <v>280</v>
      </c>
      <c r="I79" s="19" t="s">
        <v>29</v>
      </c>
    </row>
    <row r="80" customFormat="false" ht="27.75" hidden="false" customHeight="true" outlineLevel="0" collapsed="false">
      <c r="A80" s="19" t="s">
        <v>260</v>
      </c>
      <c r="B80" s="19" t="s">
        <v>261</v>
      </c>
      <c r="C80" s="19" t="s">
        <v>281</v>
      </c>
      <c r="D80" s="20" t="s">
        <v>4</v>
      </c>
      <c r="E80" s="19" t="s">
        <v>282</v>
      </c>
      <c r="F80" s="21" t="s">
        <v>8</v>
      </c>
      <c r="G80" s="19"/>
      <c r="H80" s="19" t="s">
        <v>283</v>
      </c>
      <c r="I80" s="19" t="s">
        <v>29</v>
      </c>
    </row>
    <row r="81" customFormat="false" ht="39.75" hidden="false" customHeight="true" outlineLevel="0" collapsed="false">
      <c r="A81" s="19" t="s">
        <v>260</v>
      </c>
      <c r="B81" s="19" t="s">
        <v>261</v>
      </c>
      <c r="C81" s="19" t="s">
        <v>284</v>
      </c>
      <c r="D81" s="21" t="s">
        <v>8</v>
      </c>
      <c r="E81" s="19" t="s">
        <v>285</v>
      </c>
      <c r="F81" s="21" t="s">
        <v>8</v>
      </c>
      <c r="G81" s="19"/>
      <c r="H81" s="19" t="s">
        <v>286</v>
      </c>
      <c r="I81" s="19" t="s">
        <v>29</v>
      </c>
    </row>
    <row r="82" customFormat="false" ht="27.75" hidden="false" customHeight="true" outlineLevel="0" collapsed="false">
      <c r="A82" s="19" t="s">
        <v>260</v>
      </c>
      <c r="B82" s="19" t="s">
        <v>261</v>
      </c>
      <c r="C82" s="19" t="s">
        <v>287</v>
      </c>
      <c r="D82" s="21" t="s">
        <v>8</v>
      </c>
      <c r="E82" s="19" t="s">
        <v>288</v>
      </c>
      <c r="F82" s="21" t="s">
        <v>8</v>
      </c>
      <c r="G82" s="19"/>
      <c r="H82" s="19" t="s">
        <v>289</v>
      </c>
      <c r="I82" s="19" t="s">
        <v>29</v>
      </c>
    </row>
    <row r="83" customFormat="false" ht="27.75" hidden="false" customHeight="true" outlineLevel="0" collapsed="false">
      <c r="A83" s="19" t="s">
        <v>260</v>
      </c>
      <c r="B83" s="19" t="s">
        <v>261</v>
      </c>
      <c r="C83" s="19" t="s">
        <v>290</v>
      </c>
      <c r="D83" s="21" t="s">
        <v>8</v>
      </c>
      <c r="E83" s="19" t="s">
        <v>291</v>
      </c>
      <c r="F83" s="21" t="s">
        <v>8</v>
      </c>
      <c r="G83" s="19"/>
      <c r="H83" s="19" t="s">
        <v>292</v>
      </c>
      <c r="I83" s="19" t="s">
        <v>29</v>
      </c>
    </row>
    <row r="84" customFormat="false" ht="27.75" hidden="false" customHeight="true" outlineLevel="0" collapsed="false">
      <c r="A84" s="19" t="s">
        <v>260</v>
      </c>
      <c r="B84" s="19" t="s">
        <v>261</v>
      </c>
      <c r="C84" s="19" t="s">
        <v>293</v>
      </c>
      <c r="D84" s="21" t="s">
        <v>8</v>
      </c>
      <c r="E84" s="19" t="s">
        <v>294</v>
      </c>
      <c r="F84" s="21" t="s">
        <v>8</v>
      </c>
      <c r="G84" s="19"/>
      <c r="H84" s="19" t="s">
        <v>295</v>
      </c>
      <c r="I84" s="19" t="s">
        <v>29</v>
      </c>
    </row>
    <row r="85" customFormat="false" ht="51.75" hidden="false" customHeight="true" outlineLevel="0" collapsed="false">
      <c r="A85" s="19" t="s">
        <v>260</v>
      </c>
      <c r="B85" s="19" t="s">
        <v>261</v>
      </c>
      <c r="C85" s="19" t="s">
        <v>296</v>
      </c>
      <c r="D85" s="21" t="s">
        <v>8</v>
      </c>
      <c r="E85" s="19" t="s">
        <v>297</v>
      </c>
      <c r="F85" s="21" t="s">
        <v>8</v>
      </c>
      <c r="G85" s="19"/>
      <c r="H85" s="19" t="s">
        <v>298</v>
      </c>
      <c r="I85" s="19" t="s">
        <v>29</v>
      </c>
    </row>
    <row r="86" customFormat="false" ht="15.75" hidden="false" customHeight="true" outlineLevel="0" collapsed="false">
      <c r="A86" s="19" t="s">
        <v>260</v>
      </c>
      <c r="B86" s="19" t="s">
        <v>261</v>
      </c>
      <c r="C86" s="19" t="s">
        <v>299</v>
      </c>
      <c r="D86" s="21" t="s">
        <v>8</v>
      </c>
      <c r="E86" s="19" t="s">
        <v>297</v>
      </c>
      <c r="F86" s="21" t="s">
        <v>8</v>
      </c>
      <c r="G86" s="19"/>
      <c r="H86" s="19" t="s">
        <v>300</v>
      </c>
      <c r="I86" s="19" t="s">
        <v>29</v>
      </c>
    </row>
    <row r="87" customFormat="false" ht="39.75" hidden="false" customHeight="true" outlineLevel="0" collapsed="false">
      <c r="A87" s="19" t="s">
        <v>260</v>
      </c>
      <c r="B87" s="19" t="s">
        <v>261</v>
      </c>
      <c r="C87" s="19" t="s">
        <v>301</v>
      </c>
      <c r="D87" s="20" t="s">
        <v>4</v>
      </c>
      <c r="E87" s="19" t="s">
        <v>302</v>
      </c>
      <c r="F87" s="20" t="s">
        <v>4</v>
      </c>
      <c r="G87" s="19" t="s">
        <v>303</v>
      </c>
      <c r="H87" s="19" t="s">
        <v>304</v>
      </c>
      <c r="I87" s="19" t="s">
        <v>29</v>
      </c>
    </row>
    <row r="88" customFormat="false" ht="27.75" hidden="false" customHeight="true" outlineLevel="0" collapsed="false">
      <c r="A88" s="19" t="s">
        <v>260</v>
      </c>
      <c r="B88" s="19" t="s">
        <v>261</v>
      </c>
      <c r="C88" s="19" t="s">
        <v>305</v>
      </c>
      <c r="D88" s="20" t="s">
        <v>4</v>
      </c>
      <c r="E88" s="19" t="s">
        <v>302</v>
      </c>
      <c r="F88" s="21" t="s">
        <v>8</v>
      </c>
      <c r="G88" s="19"/>
      <c r="H88" s="19" t="s">
        <v>306</v>
      </c>
      <c r="I88" s="19" t="s">
        <v>29</v>
      </c>
    </row>
    <row r="89" customFormat="false" ht="27.75" hidden="false" customHeight="true" outlineLevel="0" collapsed="false">
      <c r="A89" s="19" t="s">
        <v>260</v>
      </c>
      <c r="B89" s="19" t="s">
        <v>261</v>
      </c>
      <c r="C89" s="19" t="s">
        <v>307</v>
      </c>
      <c r="D89" s="20" t="s">
        <v>4</v>
      </c>
      <c r="E89" s="19" t="s">
        <v>308</v>
      </c>
      <c r="F89" s="20" t="s">
        <v>4</v>
      </c>
      <c r="G89" s="19" t="s">
        <v>309</v>
      </c>
      <c r="H89" s="19" t="s">
        <v>310</v>
      </c>
      <c r="I89" s="19" t="s">
        <v>29</v>
      </c>
    </row>
    <row r="90" customFormat="false" ht="15.75" hidden="false" customHeight="true" outlineLevel="0" collapsed="false">
      <c r="A90" s="19" t="s">
        <v>260</v>
      </c>
      <c r="B90" s="19" t="s">
        <v>261</v>
      </c>
      <c r="C90" s="19" t="s">
        <v>311</v>
      </c>
      <c r="D90" s="20" t="s">
        <v>4</v>
      </c>
      <c r="E90" s="19" t="s">
        <v>308</v>
      </c>
      <c r="F90" s="21" t="s">
        <v>8</v>
      </c>
      <c r="G90" s="19"/>
      <c r="H90" s="19" t="s">
        <v>312</v>
      </c>
      <c r="I90" s="19" t="s">
        <v>29</v>
      </c>
    </row>
    <row r="91" customFormat="false" ht="15.75" hidden="false" customHeight="true" outlineLevel="0" collapsed="false">
      <c r="A91" s="19" t="s">
        <v>260</v>
      </c>
      <c r="B91" s="19" t="s">
        <v>261</v>
      </c>
      <c r="C91" s="19" t="s">
        <v>313</v>
      </c>
      <c r="D91" s="20" t="s">
        <v>4</v>
      </c>
      <c r="E91" s="19" t="s">
        <v>314</v>
      </c>
      <c r="F91" s="20" t="s">
        <v>4</v>
      </c>
      <c r="G91" s="19" t="s">
        <v>315</v>
      </c>
      <c r="H91" s="19" t="s">
        <v>316</v>
      </c>
      <c r="I91" s="19" t="s">
        <v>29</v>
      </c>
    </row>
    <row r="92" customFormat="false" ht="15.75" hidden="false" customHeight="true" outlineLevel="0" collapsed="false">
      <c r="A92" s="19" t="s">
        <v>260</v>
      </c>
      <c r="B92" s="19" t="s">
        <v>261</v>
      </c>
      <c r="C92" s="19" t="s">
        <v>317</v>
      </c>
      <c r="D92" s="20" t="s">
        <v>4</v>
      </c>
      <c r="E92" s="19" t="s">
        <v>314</v>
      </c>
      <c r="F92" s="21" t="s">
        <v>8</v>
      </c>
      <c r="G92" s="19"/>
      <c r="H92" s="19" t="s">
        <v>312</v>
      </c>
      <c r="I92" s="19" t="s">
        <v>29</v>
      </c>
    </row>
    <row r="93" customFormat="false" ht="51.75" hidden="false" customHeight="true" outlineLevel="0" collapsed="false">
      <c r="A93" s="19" t="s">
        <v>260</v>
      </c>
      <c r="B93" s="19" t="s">
        <v>261</v>
      </c>
      <c r="C93" s="19" t="s">
        <v>318</v>
      </c>
      <c r="D93" s="22" t="s">
        <v>6</v>
      </c>
      <c r="E93" s="19" t="s">
        <v>319</v>
      </c>
      <c r="F93" s="21" t="s">
        <v>8</v>
      </c>
      <c r="G93" s="19"/>
      <c r="H93" s="19" t="s">
        <v>320</v>
      </c>
      <c r="I93" s="19" t="s">
        <v>29</v>
      </c>
    </row>
    <row r="94" customFormat="false" ht="39.75" hidden="false" customHeight="true" outlineLevel="0" collapsed="false">
      <c r="A94" s="19" t="s">
        <v>260</v>
      </c>
      <c r="B94" s="19" t="s">
        <v>261</v>
      </c>
      <c r="C94" s="19" t="s">
        <v>321</v>
      </c>
      <c r="D94" s="22" t="s">
        <v>6</v>
      </c>
      <c r="E94" s="19" t="s">
        <v>322</v>
      </c>
      <c r="F94" s="21" t="s">
        <v>8</v>
      </c>
      <c r="G94" s="19"/>
      <c r="H94" s="19" t="s">
        <v>323</v>
      </c>
      <c r="I94" s="19" t="s">
        <v>29</v>
      </c>
    </row>
    <row r="95" customFormat="false" ht="27.75" hidden="false" customHeight="true" outlineLevel="0" collapsed="false">
      <c r="A95" s="19" t="s">
        <v>260</v>
      </c>
      <c r="B95" s="19" t="s">
        <v>261</v>
      </c>
      <c r="C95" s="19" t="s">
        <v>324</v>
      </c>
      <c r="D95" s="21" t="s">
        <v>8</v>
      </c>
      <c r="E95" s="19" t="s">
        <v>297</v>
      </c>
      <c r="F95" s="21" t="s">
        <v>8</v>
      </c>
      <c r="G95" s="19"/>
      <c r="H95" s="19" t="s">
        <v>325</v>
      </c>
      <c r="I95" s="19" t="s">
        <v>29</v>
      </c>
    </row>
    <row r="96" customFormat="false" ht="15.75" hidden="false" customHeight="true" outlineLevel="0" collapsed="false">
      <c r="A96" s="19" t="s">
        <v>260</v>
      </c>
      <c r="B96" s="19" t="s">
        <v>261</v>
      </c>
      <c r="C96" s="19" t="s">
        <v>326</v>
      </c>
      <c r="D96" s="21" t="s">
        <v>8</v>
      </c>
      <c r="E96" s="19" t="s">
        <v>297</v>
      </c>
      <c r="F96" s="21" t="s">
        <v>8</v>
      </c>
      <c r="G96" s="19"/>
      <c r="H96" s="19" t="s">
        <v>327</v>
      </c>
      <c r="I96" s="19" t="s">
        <v>29</v>
      </c>
    </row>
    <row r="97" customFormat="false" ht="15.75" hidden="false" customHeight="true" outlineLevel="0" collapsed="false">
      <c r="A97" s="19" t="s">
        <v>260</v>
      </c>
      <c r="B97" s="19" t="s">
        <v>261</v>
      </c>
      <c r="C97" s="19" t="s">
        <v>328</v>
      </c>
      <c r="D97" s="21" t="s">
        <v>8</v>
      </c>
      <c r="E97" s="19" t="s">
        <v>297</v>
      </c>
      <c r="F97" s="21" t="s">
        <v>8</v>
      </c>
      <c r="G97" s="19"/>
      <c r="H97" s="19" t="s">
        <v>327</v>
      </c>
      <c r="I97" s="19" t="s">
        <v>29</v>
      </c>
    </row>
    <row r="98" customFormat="false" ht="51.75" hidden="false" customHeight="true" outlineLevel="0" collapsed="false">
      <c r="A98" s="19" t="s">
        <v>260</v>
      </c>
      <c r="B98" s="19" t="s">
        <v>329</v>
      </c>
      <c r="C98" s="19" t="s">
        <v>330</v>
      </c>
      <c r="D98" s="20" t="s">
        <v>4</v>
      </c>
      <c r="E98" s="19" t="s">
        <v>331</v>
      </c>
      <c r="F98" s="20" t="s">
        <v>4</v>
      </c>
      <c r="G98" s="19" t="s">
        <v>332</v>
      </c>
      <c r="H98" s="19" t="s">
        <v>333</v>
      </c>
      <c r="I98" s="19" t="s">
        <v>29</v>
      </c>
    </row>
    <row r="99" customFormat="false" ht="39.75" hidden="false" customHeight="true" outlineLevel="0" collapsed="false">
      <c r="A99" s="19" t="s">
        <v>260</v>
      </c>
      <c r="B99" s="19" t="s">
        <v>329</v>
      </c>
      <c r="C99" s="19" t="s">
        <v>334</v>
      </c>
      <c r="D99" s="20" t="s">
        <v>4</v>
      </c>
      <c r="E99" s="19" t="s">
        <v>331</v>
      </c>
      <c r="F99" s="20" t="s">
        <v>4</v>
      </c>
      <c r="G99" s="19" t="s">
        <v>335</v>
      </c>
      <c r="H99" s="19" t="s">
        <v>336</v>
      </c>
      <c r="I99" s="19" t="s">
        <v>29</v>
      </c>
    </row>
    <row r="100" customFormat="false" ht="51.75" hidden="false" customHeight="true" outlineLevel="0" collapsed="false">
      <c r="A100" s="19" t="s">
        <v>337</v>
      </c>
      <c r="B100" s="19" t="s">
        <v>338</v>
      </c>
      <c r="C100" s="19" t="s">
        <v>339</v>
      </c>
      <c r="D100" s="20" t="s">
        <v>4</v>
      </c>
      <c r="E100" s="19" t="s">
        <v>340</v>
      </c>
      <c r="F100" s="20" t="s">
        <v>4</v>
      </c>
      <c r="G100" s="19" t="s">
        <v>341</v>
      </c>
      <c r="H100" s="19" t="s">
        <v>342</v>
      </c>
      <c r="I100" s="19" t="s">
        <v>31</v>
      </c>
    </row>
    <row r="101" customFormat="false" ht="27.75" hidden="false" customHeight="true" outlineLevel="0" collapsed="false">
      <c r="A101" s="19" t="s">
        <v>337</v>
      </c>
      <c r="B101" s="19" t="s">
        <v>338</v>
      </c>
      <c r="C101" s="19" t="s">
        <v>343</v>
      </c>
      <c r="D101" s="20" t="s">
        <v>4</v>
      </c>
      <c r="E101" s="19" t="s">
        <v>344</v>
      </c>
      <c r="F101" s="20" t="s">
        <v>4</v>
      </c>
      <c r="G101" s="19" t="s">
        <v>345</v>
      </c>
      <c r="H101" s="19" t="s">
        <v>346</v>
      </c>
      <c r="I101" s="19" t="s">
        <v>31</v>
      </c>
    </row>
    <row r="102" customFormat="false" ht="15.75" hidden="false" customHeight="true" outlineLevel="0" collapsed="false">
      <c r="A102" s="19" t="s">
        <v>337</v>
      </c>
      <c r="B102" s="19" t="s">
        <v>338</v>
      </c>
      <c r="C102" s="19" t="s">
        <v>347</v>
      </c>
      <c r="D102" s="20" t="s">
        <v>4</v>
      </c>
      <c r="E102" s="19" t="s">
        <v>348</v>
      </c>
      <c r="F102" s="21" t="s">
        <v>8</v>
      </c>
      <c r="G102" s="19"/>
      <c r="H102" s="19" t="s">
        <v>349</v>
      </c>
      <c r="I102" s="19" t="s">
        <v>31</v>
      </c>
    </row>
    <row r="103" customFormat="false" ht="39.75" hidden="false" customHeight="true" outlineLevel="0" collapsed="false">
      <c r="A103" s="19" t="s">
        <v>337</v>
      </c>
      <c r="B103" s="19" t="s">
        <v>338</v>
      </c>
      <c r="C103" s="19" t="s">
        <v>350</v>
      </c>
      <c r="D103" s="20" t="s">
        <v>4</v>
      </c>
      <c r="E103" s="19" t="s">
        <v>351</v>
      </c>
      <c r="F103" s="21" t="s">
        <v>8</v>
      </c>
      <c r="G103" s="19"/>
      <c r="H103" s="19" t="s">
        <v>352</v>
      </c>
      <c r="I103" s="19" t="s">
        <v>31</v>
      </c>
    </row>
    <row r="104" customFormat="false" ht="15.75" hidden="false" customHeight="true" outlineLevel="0" collapsed="false">
      <c r="A104" s="19" t="s">
        <v>337</v>
      </c>
      <c r="B104" s="19" t="s">
        <v>338</v>
      </c>
      <c r="C104" s="19" t="s">
        <v>353</v>
      </c>
      <c r="D104" s="20" t="s">
        <v>4</v>
      </c>
      <c r="E104" s="19" t="s">
        <v>354</v>
      </c>
      <c r="F104" s="20" t="s">
        <v>4</v>
      </c>
      <c r="G104" s="19" t="s">
        <v>355</v>
      </c>
      <c r="H104" s="19" t="s">
        <v>356</v>
      </c>
      <c r="I104" s="19" t="s">
        <v>31</v>
      </c>
    </row>
    <row r="105" customFormat="false" ht="39.75" hidden="false" customHeight="true" outlineLevel="0" collapsed="false">
      <c r="A105" s="19" t="s">
        <v>337</v>
      </c>
      <c r="B105" s="19" t="s">
        <v>357</v>
      </c>
      <c r="C105" s="19" t="s">
        <v>358</v>
      </c>
      <c r="D105" s="20" t="s">
        <v>4</v>
      </c>
      <c r="E105" s="19" t="s">
        <v>359</v>
      </c>
      <c r="F105" s="21" t="s">
        <v>8</v>
      </c>
      <c r="G105" s="19"/>
      <c r="H105" s="19" t="s">
        <v>360</v>
      </c>
      <c r="I105" s="19" t="s">
        <v>31</v>
      </c>
    </row>
    <row r="106" customFormat="false" ht="15.75" hidden="false" customHeight="true" outlineLevel="0" collapsed="false">
      <c r="A106" s="19" t="s">
        <v>337</v>
      </c>
      <c r="B106" s="19" t="s">
        <v>357</v>
      </c>
      <c r="C106" s="19" t="s">
        <v>361</v>
      </c>
      <c r="D106" s="20" t="s">
        <v>4</v>
      </c>
      <c r="E106" s="19" t="s">
        <v>362</v>
      </c>
      <c r="F106" s="20" t="s">
        <v>4</v>
      </c>
      <c r="G106" s="19" t="s">
        <v>363</v>
      </c>
      <c r="H106" s="19" t="s">
        <v>364</v>
      </c>
      <c r="I106" s="19" t="s">
        <v>31</v>
      </c>
    </row>
    <row r="107" customFormat="false" ht="27.75" hidden="false" customHeight="true" outlineLevel="0" collapsed="false">
      <c r="A107" s="19" t="s">
        <v>337</v>
      </c>
      <c r="B107" s="19" t="s">
        <v>357</v>
      </c>
      <c r="C107" s="19" t="s">
        <v>365</v>
      </c>
      <c r="D107" s="21" t="s">
        <v>8</v>
      </c>
      <c r="E107" s="19"/>
      <c r="F107" s="21" t="s">
        <v>8</v>
      </c>
      <c r="G107" s="19"/>
      <c r="H107" s="19" t="s">
        <v>366</v>
      </c>
      <c r="I107" s="19" t="s">
        <v>31</v>
      </c>
    </row>
    <row r="108" customFormat="false" ht="27.75" hidden="false" customHeight="true" outlineLevel="0" collapsed="false">
      <c r="A108" s="19" t="s">
        <v>337</v>
      </c>
      <c r="B108" s="19" t="s">
        <v>357</v>
      </c>
      <c r="C108" s="19" t="s">
        <v>367</v>
      </c>
      <c r="D108" s="21" t="s">
        <v>8</v>
      </c>
      <c r="E108" s="19"/>
      <c r="F108" s="21" t="s">
        <v>8</v>
      </c>
      <c r="G108" s="19"/>
      <c r="H108" s="19" t="s">
        <v>368</v>
      </c>
      <c r="I108" s="19" t="s">
        <v>31</v>
      </c>
    </row>
    <row r="109" customFormat="false" ht="27.75" hidden="false" customHeight="true" outlineLevel="0" collapsed="false">
      <c r="A109" s="19" t="s">
        <v>337</v>
      </c>
      <c r="B109" s="19" t="s">
        <v>357</v>
      </c>
      <c r="C109" s="19" t="s">
        <v>347</v>
      </c>
      <c r="D109" s="21" t="s">
        <v>8</v>
      </c>
      <c r="E109" s="19"/>
      <c r="F109" s="21" t="s">
        <v>8</v>
      </c>
      <c r="G109" s="19"/>
      <c r="H109" s="19" t="s">
        <v>369</v>
      </c>
      <c r="I109" s="19" t="s">
        <v>31</v>
      </c>
    </row>
    <row r="110" customFormat="false" ht="51.75" hidden="false" customHeight="true" outlineLevel="0" collapsed="false">
      <c r="A110" s="19" t="s">
        <v>337</v>
      </c>
      <c r="B110" s="19" t="s">
        <v>357</v>
      </c>
      <c r="C110" s="19" t="s">
        <v>370</v>
      </c>
      <c r="D110" s="21" t="s">
        <v>8</v>
      </c>
      <c r="E110" s="19"/>
      <c r="F110" s="21" t="s">
        <v>8</v>
      </c>
      <c r="G110" s="19"/>
      <c r="H110" s="19" t="s">
        <v>371</v>
      </c>
      <c r="I110" s="19" t="s">
        <v>31</v>
      </c>
    </row>
    <row r="111" customFormat="false" ht="39.75" hidden="false" customHeight="true" outlineLevel="0" collapsed="false">
      <c r="A111" s="19" t="s">
        <v>337</v>
      </c>
      <c r="B111" s="19" t="s">
        <v>372</v>
      </c>
      <c r="C111" s="19" t="s">
        <v>373</v>
      </c>
      <c r="D111" s="22" t="s">
        <v>6</v>
      </c>
      <c r="E111" s="19" t="s">
        <v>374</v>
      </c>
      <c r="F111" s="21" t="s">
        <v>8</v>
      </c>
      <c r="G111" s="19"/>
      <c r="H111" s="19" t="s">
        <v>375</v>
      </c>
      <c r="I111" s="19" t="s">
        <v>31</v>
      </c>
    </row>
    <row r="112" customFormat="false" ht="27.75" hidden="false" customHeight="true" outlineLevel="0" collapsed="false">
      <c r="A112" s="19" t="s">
        <v>337</v>
      </c>
      <c r="B112" s="19" t="s">
        <v>372</v>
      </c>
      <c r="C112" s="19" t="s">
        <v>376</v>
      </c>
      <c r="D112" s="20" t="s">
        <v>4</v>
      </c>
      <c r="E112" s="19" t="s">
        <v>377</v>
      </c>
      <c r="F112" s="20" t="s">
        <v>4</v>
      </c>
      <c r="G112" s="19" t="s">
        <v>378</v>
      </c>
      <c r="H112" s="19" t="s">
        <v>379</v>
      </c>
      <c r="I112" s="19" t="s">
        <v>31</v>
      </c>
    </row>
    <row r="113" customFormat="false" ht="51.75" hidden="false" customHeight="true" outlineLevel="0" collapsed="false">
      <c r="A113" s="19" t="s">
        <v>337</v>
      </c>
      <c r="B113" s="19" t="s">
        <v>380</v>
      </c>
      <c r="C113" s="19" t="s">
        <v>381</v>
      </c>
      <c r="D113" s="22" t="s">
        <v>6</v>
      </c>
      <c r="E113" s="19" t="s">
        <v>382</v>
      </c>
      <c r="F113" s="20" t="s">
        <v>4</v>
      </c>
      <c r="G113" s="19" t="s">
        <v>383</v>
      </c>
      <c r="H113" s="19" t="s">
        <v>384</v>
      </c>
      <c r="I113" s="19" t="s">
        <v>31</v>
      </c>
    </row>
    <row r="114" customFormat="false" ht="27.75" hidden="false" customHeight="true" outlineLevel="0" collapsed="false">
      <c r="A114" s="19" t="s">
        <v>337</v>
      </c>
      <c r="B114" s="19" t="s">
        <v>380</v>
      </c>
      <c r="C114" s="19" t="s">
        <v>385</v>
      </c>
      <c r="D114" s="20" t="s">
        <v>4</v>
      </c>
      <c r="E114" s="19" t="s">
        <v>382</v>
      </c>
      <c r="F114" s="20" t="s">
        <v>4</v>
      </c>
      <c r="G114" s="19" t="s">
        <v>386</v>
      </c>
      <c r="H114" s="19" t="s">
        <v>387</v>
      </c>
      <c r="I114" s="19" t="s">
        <v>31</v>
      </c>
    </row>
    <row r="115" customFormat="false" ht="51.75" hidden="false" customHeight="true" outlineLevel="0" collapsed="false">
      <c r="A115" s="19" t="s">
        <v>337</v>
      </c>
      <c r="B115" s="19" t="s">
        <v>388</v>
      </c>
      <c r="C115" s="19" t="s">
        <v>389</v>
      </c>
      <c r="D115" s="21" t="s">
        <v>8</v>
      </c>
      <c r="E115" s="19"/>
      <c r="F115" s="21" t="s">
        <v>8</v>
      </c>
      <c r="G115" s="19"/>
      <c r="H115" s="19" t="s">
        <v>390</v>
      </c>
      <c r="I115" s="19" t="s">
        <v>31</v>
      </c>
    </row>
    <row r="116" customFormat="false" ht="27.75" hidden="false" customHeight="true" outlineLevel="0" collapsed="false">
      <c r="A116" s="19" t="s">
        <v>337</v>
      </c>
      <c r="B116" s="19" t="s">
        <v>388</v>
      </c>
      <c r="C116" s="19" t="s">
        <v>391</v>
      </c>
      <c r="D116" s="21" t="s">
        <v>8</v>
      </c>
      <c r="E116" s="19"/>
      <c r="F116" s="21" t="s">
        <v>8</v>
      </c>
      <c r="G116" s="19"/>
      <c r="H116" s="19" t="s">
        <v>392</v>
      </c>
      <c r="I116" s="19" t="s">
        <v>31</v>
      </c>
    </row>
    <row r="117" customFormat="false" ht="27.75" hidden="false" customHeight="true" outlineLevel="0" collapsed="false">
      <c r="A117" s="19" t="s">
        <v>337</v>
      </c>
      <c r="B117" s="19" t="s">
        <v>393</v>
      </c>
      <c r="C117" s="19" t="s">
        <v>394</v>
      </c>
      <c r="D117" s="20" t="s">
        <v>4</v>
      </c>
      <c r="E117" s="19" t="s">
        <v>395</v>
      </c>
      <c r="F117" s="22" t="s">
        <v>6</v>
      </c>
      <c r="G117" s="19" t="s">
        <v>396</v>
      </c>
      <c r="H117" s="19" t="s">
        <v>397</v>
      </c>
      <c r="I117" s="19" t="s">
        <v>31</v>
      </c>
    </row>
    <row r="118" customFormat="false" ht="27.75" hidden="false" customHeight="true" outlineLevel="0" collapsed="false">
      <c r="A118" s="19" t="s">
        <v>398</v>
      </c>
      <c r="B118" s="19" t="s">
        <v>399</v>
      </c>
      <c r="C118" s="19" t="s">
        <v>400</v>
      </c>
      <c r="D118" s="21" t="s">
        <v>8</v>
      </c>
      <c r="E118" s="19"/>
      <c r="F118" s="21" t="s">
        <v>8</v>
      </c>
      <c r="G118" s="19"/>
      <c r="H118" s="19" t="s">
        <v>401</v>
      </c>
      <c r="I118" s="19" t="s">
        <v>31</v>
      </c>
    </row>
    <row r="119" customFormat="false" ht="51.75" hidden="false" customHeight="true" outlineLevel="0" collapsed="false">
      <c r="A119" s="19" t="s">
        <v>398</v>
      </c>
      <c r="B119" s="19" t="s">
        <v>402</v>
      </c>
      <c r="C119" s="19" t="s">
        <v>403</v>
      </c>
      <c r="D119" s="21" t="s">
        <v>8</v>
      </c>
      <c r="E119" s="19"/>
      <c r="F119" s="21" t="s">
        <v>8</v>
      </c>
      <c r="G119" s="19"/>
      <c r="H119" s="19" t="s">
        <v>404</v>
      </c>
      <c r="I119" s="19" t="s">
        <v>31</v>
      </c>
    </row>
    <row r="120" customFormat="false" ht="27.75" hidden="false" customHeight="true" outlineLevel="0" collapsed="false">
      <c r="A120" s="19" t="s">
        <v>398</v>
      </c>
      <c r="B120" s="19" t="s">
        <v>405</v>
      </c>
      <c r="C120" s="19" t="s">
        <v>406</v>
      </c>
      <c r="D120" s="20" t="s">
        <v>4</v>
      </c>
      <c r="E120" s="19" t="s">
        <v>407</v>
      </c>
      <c r="F120" s="20" t="s">
        <v>4</v>
      </c>
      <c r="G120" s="19" t="s">
        <v>408</v>
      </c>
      <c r="H120" s="19" t="s">
        <v>409</v>
      </c>
      <c r="I120" s="19" t="s">
        <v>31</v>
      </c>
    </row>
    <row r="121" customFormat="false" ht="27.75" hidden="false" customHeight="true" outlineLevel="0" collapsed="false">
      <c r="A121" s="19" t="s">
        <v>398</v>
      </c>
      <c r="B121" s="19" t="s">
        <v>405</v>
      </c>
      <c r="C121" s="19" t="s">
        <v>410</v>
      </c>
      <c r="D121" s="20" t="s">
        <v>4</v>
      </c>
      <c r="E121" s="19" t="s">
        <v>411</v>
      </c>
      <c r="F121" s="21" t="s">
        <v>8</v>
      </c>
      <c r="G121" s="19"/>
      <c r="H121" s="19" t="s">
        <v>412</v>
      </c>
      <c r="I121" s="19" t="s">
        <v>31</v>
      </c>
    </row>
    <row r="122" customFormat="false" ht="15.75" hidden="false" customHeight="true" outlineLevel="0" collapsed="false">
      <c r="A122" s="19" t="s">
        <v>398</v>
      </c>
      <c r="B122" s="19" t="s">
        <v>405</v>
      </c>
      <c r="C122" s="19" t="s">
        <v>413</v>
      </c>
      <c r="D122" s="21" t="s">
        <v>8</v>
      </c>
      <c r="E122" s="19"/>
      <c r="F122" s="21" t="s">
        <v>8</v>
      </c>
      <c r="G122" s="19"/>
      <c r="H122" s="19" t="s">
        <v>414</v>
      </c>
      <c r="I122" s="19" t="s">
        <v>31</v>
      </c>
    </row>
    <row r="123" customFormat="false" ht="27.75" hidden="false" customHeight="true" outlineLevel="0" collapsed="false">
      <c r="A123" s="19" t="s">
        <v>398</v>
      </c>
      <c r="B123" s="19" t="s">
        <v>405</v>
      </c>
      <c r="C123" s="19" t="s">
        <v>415</v>
      </c>
      <c r="D123" s="21" t="s">
        <v>8</v>
      </c>
      <c r="E123" s="19"/>
      <c r="F123" s="21" t="s">
        <v>8</v>
      </c>
      <c r="G123" s="19"/>
      <c r="H123" s="19" t="s">
        <v>416</v>
      </c>
      <c r="I123" s="19" t="s">
        <v>31</v>
      </c>
    </row>
    <row r="124" customFormat="false" ht="15.75" hidden="false" customHeight="true" outlineLevel="0" collapsed="false">
      <c r="A124" s="19" t="s">
        <v>398</v>
      </c>
      <c r="B124" s="19" t="s">
        <v>405</v>
      </c>
      <c r="C124" s="19" t="s">
        <v>417</v>
      </c>
      <c r="D124" s="20" t="s">
        <v>4</v>
      </c>
      <c r="E124" s="19" t="s">
        <v>418</v>
      </c>
      <c r="F124" s="21" t="s">
        <v>8</v>
      </c>
      <c r="G124" s="19"/>
      <c r="H124" s="19" t="s">
        <v>419</v>
      </c>
      <c r="I124" s="19" t="s">
        <v>31</v>
      </c>
    </row>
    <row r="125" customFormat="false" ht="27.75" hidden="false" customHeight="true" outlineLevel="0" collapsed="false">
      <c r="A125" s="19" t="s">
        <v>398</v>
      </c>
      <c r="B125" s="19" t="s">
        <v>405</v>
      </c>
      <c r="C125" s="19" t="s">
        <v>350</v>
      </c>
      <c r="D125" s="21" t="s">
        <v>8</v>
      </c>
      <c r="E125" s="19"/>
      <c r="F125" s="21" t="s">
        <v>8</v>
      </c>
      <c r="G125" s="19"/>
      <c r="H125" s="19" t="s">
        <v>420</v>
      </c>
      <c r="I125" s="19" t="s">
        <v>31</v>
      </c>
    </row>
    <row r="126" customFormat="false" ht="51.75" hidden="false" customHeight="true" outlineLevel="0" collapsed="false">
      <c r="A126" s="19" t="s">
        <v>398</v>
      </c>
      <c r="B126" s="19" t="s">
        <v>421</v>
      </c>
      <c r="C126" s="19" t="s">
        <v>422</v>
      </c>
      <c r="D126" s="23" t="s">
        <v>10</v>
      </c>
      <c r="E126" s="19"/>
      <c r="F126" s="23" t="s">
        <v>10</v>
      </c>
      <c r="G126" s="19"/>
      <c r="H126" s="19" t="s">
        <v>423</v>
      </c>
      <c r="I126" s="19" t="s">
        <v>31</v>
      </c>
    </row>
    <row r="127" customFormat="false" ht="39.75" hidden="false" customHeight="true" outlineLevel="0" collapsed="false">
      <c r="A127" s="19" t="s">
        <v>424</v>
      </c>
      <c r="B127" s="19" t="s">
        <v>425</v>
      </c>
      <c r="C127" s="19" t="s">
        <v>426</v>
      </c>
      <c r="D127" s="22" t="s">
        <v>6</v>
      </c>
      <c r="E127" s="19" t="s">
        <v>427</v>
      </c>
      <c r="F127" s="21" t="s">
        <v>8</v>
      </c>
      <c r="G127" s="19"/>
      <c r="H127" s="19" t="s">
        <v>428</v>
      </c>
      <c r="I127" s="19" t="s">
        <v>31</v>
      </c>
    </row>
    <row r="128" customFormat="false" ht="27.75" hidden="false" customHeight="true" outlineLevel="0" collapsed="false">
      <c r="A128" s="19" t="s">
        <v>424</v>
      </c>
      <c r="B128" s="19" t="s">
        <v>425</v>
      </c>
      <c r="C128" s="19" t="s">
        <v>429</v>
      </c>
      <c r="D128" s="20" t="s">
        <v>4</v>
      </c>
      <c r="E128" s="19" t="s">
        <v>430</v>
      </c>
      <c r="F128" s="21" t="s">
        <v>8</v>
      </c>
      <c r="G128" s="19"/>
      <c r="H128" s="19" t="s">
        <v>431</v>
      </c>
      <c r="I128" s="19" t="s">
        <v>31</v>
      </c>
    </row>
    <row r="129" customFormat="false" ht="15.75" hidden="false" customHeight="true" outlineLevel="0" collapsed="false">
      <c r="A129" s="19" t="s">
        <v>424</v>
      </c>
      <c r="B129" s="19" t="s">
        <v>425</v>
      </c>
      <c r="C129" s="19" t="s">
        <v>432</v>
      </c>
      <c r="D129" s="21" t="s">
        <v>8</v>
      </c>
      <c r="E129" s="19"/>
      <c r="F129" s="21" t="s">
        <v>8</v>
      </c>
      <c r="G129" s="19"/>
      <c r="H129" s="19" t="s">
        <v>433</v>
      </c>
      <c r="I129" s="19" t="s">
        <v>31</v>
      </c>
    </row>
    <row r="130" customFormat="false" ht="15.75" hidden="false" customHeight="true" outlineLevel="0" collapsed="false">
      <c r="A130" s="19" t="s">
        <v>424</v>
      </c>
      <c r="B130" s="19" t="s">
        <v>425</v>
      </c>
      <c r="C130" s="19" t="s">
        <v>434</v>
      </c>
      <c r="D130" s="20" t="s">
        <v>4</v>
      </c>
      <c r="E130" s="19" t="s">
        <v>435</v>
      </c>
      <c r="F130" s="21" t="s">
        <v>8</v>
      </c>
      <c r="G130" s="19"/>
      <c r="H130" s="19" t="s">
        <v>436</v>
      </c>
      <c r="I130" s="19" t="s">
        <v>31</v>
      </c>
    </row>
    <row r="131" customFormat="false" ht="15.75" hidden="false" customHeight="true" outlineLevel="0" collapsed="false">
      <c r="A131" s="19" t="s">
        <v>424</v>
      </c>
      <c r="B131" s="19" t="s">
        <v>425</v>
      </c>
      <c r="C131" s="19" t="s">
        <v>437</v>
      </c>
      <c r="D131" s="21" t="s">
        <v>8</v>
      </c>
      <c r="E131" s="19"/>
      <c r="F131" s="21" t="s">
        <v>8</v>
      </c>
      <c r="G131" s="19"/>
      <c r="H131" s="19" t="s">
        <v>438</v>
      </c>
      <c r="I131" s="19" t="s">
        <v>31</v>
      </c>
    </row>
    <row r="132" customFormat="false" ht="15.75" hidden="false" customHeight="true" outlineLevel="0" collapsed="false">
      <c r="A132" s="19" t="s">
        <v>424</v>
      </c>
      <c r="B132" s="19" t="s">
        <v>439</v>
      </c>
      <c r="C132" s="19" t="s">
        <v>440</v>
      </c>
      <c r="D132" s="22" t="s">
        <v>6</v>
      </c>
      <c r="E132" s="19" t="s">
        <v>441</v>
      </c>
      <c r="F132" s="21" t="s">
        <v>8</v>
      </c>
      <c r="G132" s="19"/>
      <c r="H132" s="19" t="s">
        <v>85</v>
      </c>
      <c r="I132" s="19" t="s">
        <v>31</v>
      </c>
    </row>
    <row r="133" customFormat="false" ht="63.75" hidden="false" customHeight="true" outlineLevel="0" collapsed="false">
      <c r="A133" s="19" t="s">
        <v>424</v>
      </c>
      <c r="B133" s="19" t="s">
        <v>439</v>
      </c>
      <c r="C133" s="19" t="s">
        <v>442</v>
      </c>
      <c r="D133" s="20" t="s">
        <v>4</v>
      </c>
      <c r="E133" s="19" t="s">
        <v>443</v>
      </c>
      <c r="F133" s="20" t="s">
        <v>4</v>
      </c>
      <c r="G133" s="19" t="s">
        <v>444</v>
      </c>
      <c r="H133" s="19" t="s">
        <v>445</v>
      </c>
      <c r="I133" s="19" t="s">
        <v>31</v>
      </c>
    </row>
    <row r="134" customFormat="false" ht="15.75" hidden="false" customHeight="true" outlineLevel="0" collapsed="false">
      <c r="A134" s="19" t="s">
        <v>424</v>
      </c>
      <c r="B134" s="19" t="s">
        <v>446</v>
      </c>
      <c r="C134" s="19" t="s">
        <v>447</v>
      </c>
      <c r="D134" s="22" t="s">
        <v>6</v>
      </c>
      <c r="E134" s="19" t="s">
        <v>448</v>
      </c>
      <c r="F134" s="21" t="s">
        <v>8</v>
      </c>
      <c r="G134" s="19"/>
      <c r="H134" s="19" t="s">
        <v>85</v>
      </c>
      <c r="I134" s="19" t="s">
        <v>31</v>
      </c>
    </row>
    <row r="135" customFormat="false" ht="39.75" hidden="false" customHeight="true" outlineLevel="0" collapsed="false">
      <c r="A135" s="19" t="s">
        <v>424</v>
      </c>
      <c r="B135" s="19" t="s">
        <v>446</v>
      </c>
      <c r="C135" s="19" t="s">
        <v>449</v>
      </c>
      <c r="D135" s="20" t="s">
        <v>4</v>
      </c>
      <c r="E135" s="19" t="s">
        <v>450</v>
      </c>
      <c r="F135" s="20" t="s">
        <v>4</v>
      </c>
      <c r="G135" s="19" t="s">
        <v>451</v>
      </c>
      <c r="H135" s="19" t="s">
        <v>452</v>
      </c>
      <c r="I135" s="19" t="s">
        <v>31</v>
      </c>
    </row>
    <row r="136" customFormat="false" ht="27.75" hidden="false" customHeight="true" outlineLevel="0" collapsed="false">
      <c r="A136" s="19" t="s">
        <v>424</v>
      </c>
      <c r="B136" s="19" t="s">
        <v>446</v>
      </c>
      <c r="C136" s="19" t="s">
        <v>453</v>
      </c>
      <c r="D136" s="20" t="s">
        <v>4</v>
      </c>
      <c r="E136" s="19" t="s">
        <v>454</v>
      </c>
      <c r="F136" s="20" t="s">
        <v>4</v>
      </c>
      <c r="G136" s="19" t="s">
        <v>455</v>
      </c>
      <c r="H136" s="19" t="s">
        <v>85</v>
      </c>
      <c r="I136" s="19" t="s">
        <v>31</v>
      </c>
    </row>
    <row r="137" customFormat="false" ht="27.75" hidden="false" customHeight="true" outlineLevel="0" collapsed="false">
      <c r="A137" s="19" t="s">
        <v>424</v>
      </c>
      <c r="B137" s="19" t="s">
        <v>446</v>
      </c>
      <c r="C137" s="19" t="s">
        <v>456</v>
      </c>
      <c r="D137" s="20" t="s">
        <v>4</v>
      </c>
      <c r="E137" s="19" t="s">
        <v>457</v>
      </c>
      <c r="F137" s="21" t="s">
        <v>8</v>
      </c>
      <c r="G137" s="19"/>
      <c r="H137" s="19" t="s">
        <v>458</v>
      </c>
      <c r="I137" s="19" t="s">
        <v>31</v>
      </c>
    </row>
    <row r="138" customFormat="false" ht="39.75" hidden="false" customHeight="true" outlineLevel="0" collapsed="false">
      <c r="A138" s="19" t="s">
        <v>424</v>
      </c>
      <c r="B138" s="19" t="s">
        <v>446</v>
      </c>
      <c r="C138" s="19" t="s">
        <v>350</v>
      </c>
      <c r="D138" s="21" t="s">
        <v>8</v>
      </c>
      <c r="E138" s="19"/>
      <c r="F138" s="21" t="s">
        <v>8</v>
      </c>
      <c r="G138" s="19"/>
      <c r="H138" s="19" t="s">
        <v>459</v>
      </c>
      <c r="I138" s="19" t="s">
        <v>31</v>
      </c>
    </row>
    <row r="139" customFormat="false" ht="39.75" hidden="false" customHeight="true" outlineLevel="0" collapsed="false">
      <c r="A139" s="19" t="s">
        <v>424</v>
      </c>
      <c r="B139" s="19" t="s">
        <v>446</v>
      </c>
      <c r="C139" s="19" t="s">
        <v>353</v>
      </c>
      <c r="D139" s="20" t="s">
        <v>4</v>
      </c>
      <c r="E139" s="19" t="s">
        <v>460</v>
      </c>
      <c r="F139" s="20" t="s">
        <v>4</v>
      </c>
      <c r="G139" s="19" t="s">
        <v>461</v>
      </c>
      <c r="H139" s="19" t="s">
        <v>462</v>
      </c>
      <c r="I139" s="19" t="s">
        <v>31</v>
      </c>
    </row>
    <row r="140" customFormat="false" ht="15.75" hidden="false" customHeight="true" outlineLevel="0" collapsed="false">
      <c r="A140" s="19" t="s">
        <v>424</v>
      </c>
      <c r="B140" s="19" t="s">
        <v>463</v>
      </c>
      <c r="C140" s="19" t="s">
        <v>464</v>
      </c>
      <c r="D140" s="21" t="s">
        <v>8</v>
      </c>
      <c r="E140" s="19"/>
      <c r="F140" s="21" t="s">
        <v>8</v>
      </c>
      <c r="G140" s="19"/>
      <c r="H140" s="19" t="s">
        <v>465</v>
      </c>
      <c r="I140" s="19" t="s">
        <v>31</v>
      </c>
    </row>
    <row r="141" customFormat="false" ht="27.75" hidden="false" customHeight="true" outlineLevel="0" collapsed="false">
      <c r="A141" s="19" t="s">
        <v>424</v>
      </c>
      <c r="B141" s="19" t="s">
        <v>463</v>
      </c>
      <c r="C141" s="19" t="s">
        <v>466</v>
      </c>
      <c r="D141" s="21" t="s">
        <v>8</v>
      </c>
      <c r="E141" s="19"/>
      <c r="F141" s="21" t="s">
        <v>8</v>
      </c>
      <c r="G141" s="19"/>
      <c r="H141" s="19" t="s">
        <v>467</v>
      </c>
      <c r="I141" s="19" t="s">
        <v>31</v>
      </c>
    </row>
    <row r="142" customFormat="false" ht="27.75" hidden="false" customHeight="true" outlineLevel="0" collapsed="false">
      <c r="A142" s="19" t="s">
        <v>424</v>
      </c>
      <c r="B142" s="19" t="s">
        <v>468</v>
      </c>
      <c r="C142" s="19" t="s">
        <v>469</v>
      </c>
      <c r="D142" s="22" t="s">
        <v>6</v>
      </c>
      <c r="E142" s="19" t="s">
        <v>470</v>
      </c>
      <c r="F142" s="21" t="s">
        <v>8</v>
      </c>
      <c r="G142" s="19"/>
      <c r="H142" s="19" t="s">
        <v>85</v>
      </c>
      <c r="I142" s="19" t="s">
        <v>31</v>
      </c>
    </row>
    <row r="143" customFormat="false" ht="39.75" hidden="false" customHeight="true" outlineLevel="0" collapsed="false">
      <c r="A143" s="19" t="s">
        <v>424</v>
      </c>
      <c r="B143" s="19" t="s">
        <v>468</v>
      </c>
      <c r="C143" s="19" t="s">
        <v>471</v>
      </c>
      <c r="D143" s="21" t="s">
        <v>8</v>
      </c>
      <c r="E143" s="19"/>
      <c r="F143" s="21" t="s">
        <v>8</v>
      </c>
      <c r="G143" s="19"/>
      <c r="H143" s="19" t="s">
        <v>472</v>
      </c>
      <c r="I143" s="19" t="s">
        <v>31</v>
      </c>
    </row>
    <row r="144" customFormat="false" ht="39.75" hidden="false" customHeight="true" outlineLevel="0" collapsed="false">
      <c r="A144" s="19" t="s">
        <v>33</v>
      </c>
      <c r="B144" s="19" t="s">
        <v>473</v>
      </c>
      <c r="C144" s="19" t="s">
        <v>474</v>
      </c>
      <c r="D144" s="21" t="s">
        <v>8</v>
      </c>
      <c r="E144" s="19" t="s">
        <v>475</v>
      </c>
      <c r="F144" s="21" t="s">
        <v>8</v>
      </c>
      <c r="G144" s="19"/>
      <c r="H144" s="19" t="s">
        <v>476</v>
      </c>
      <c r="I144" s="19" t="s">
        <v>33</v>
      </c>
    </row>
    <row r="145" customFormat="false" ht="27.75" hidden="false" customHeight="true" outlineLevel="0" collapsed="false">
      <c r="A145" s="19" t="s">
        <v>33</v>
      </c>
      <c r="B145" s="19" t="s">
        <v>477</v>
      </c>
      <c r="C145" s="19" t="s">
        <v>478</v>
      </c>
      <c r="D145" s="21" t="s">
        <v>8</v>
      </c>
      <c r="E145" s="19" t="s">
        <v>479</v>
      </c>
      <c r="F145" s="21" t="s">
        <v>8</v>
      </c>
      <c r="G145" s="19"/>
      <c r="H145" s="19" t="s">
        <v>480</v>
      </c>
      <c r="I145" s="19" t="s">
        <v>33</v>
      </c>
    </row>
    <row r="146" customFormat="false" ht="51.75" hidden="false" customHeight="true" outlineLevel="0" collapsed="false">
      <c r="A146" s="19" t="s">
        <v>33</v>
      </c>
      <c r="B146" s="19" t="s">
        <v>481</v>
      </c>
      <c r="C146" s="19" t="s">
        <v>482</v>
      </c>
      <c r="D146" s="22" t="s">
        <v>6</v>
      </c>
      <c r="E146" s="19" t="s">
        <v>483</v>
      </c>
      <c r="F146" s="21" t="s">
        <v>8</v>
      </c>
      <c r="G146" s="19"/>
      <c r="H146" s="19" t="s">
        <v>484</v>
      </c>
      <c r="I146" s="19" t="s">
        <v>33</v>
      </c>
    </row>
    <row r="147" customFormat="false" ht="39.75" hidden="false" customHeight="true" outlineLevel="0" collapsed="false">
      <c r="A147" s="19" t="s">
        <v>33</v>
      </c>
      <c r="B147" s="19" t="s">
        <v>481</v>
      </c>
      <c r="C147" s="19" t="s">
        <v>485</v>
      </c>
      <c r="D147" s="20" t="s">
        <v>4</v>
      </c>
      <c r="E147" s="19" t="s">
        <v>486</v>
      </c>
      <c r="F147" s="20" t="s">
        <v>4</v>
      </c>
      <c r="G147" s="19" t="s">
        <v>487</v>
      </c>
      <c r="H147" s="19" t="s">
        <v>488</v>
      </c>
      <c r="I147" s="19" t="s">
        <v>33</v>
      </c>
    </row>
    <row r="148" customFormat="false" ht="51.75" hidden="false" customHeight="true" outlineLevel="0" collapsed="false">
      <c r="A148" s="19" t="s">
        <v>33</v>
      </c>
      <c r="B148" s="19" t="s">
        <v>489</v>
      </c>
      <c r="C148" s="19" t="s">
        <v>490</v>
      </c>
      <c r="D148" s="21" t="s">
        <v>8</v>
      </c>
      <c r="E148" s="19" t="s">
        <v>491</v>
      </c>
      <c r="F148" s="21" t="s">
        <v>8</v>
      </c>
      <c r="G148" s="19"/>
      <c r="H148" s="19" t="s">
        <v>492</v>
      </c>
      <c r="I148" s="19" t="s">
        <v>33</v>
      </c>
    </row>
    <row r="149" customFormat="false" ht="27.75" hidden="false" customHeight="true" outlineLevel="0" collapsed="false">
      <c r="A149" s="19" t="s">
        <v>33</v>
      </c>
      <c r="B149" s="19" t="s">
        <v>493</v>
      </c>
      <c r="C149" s="19" t="s">
        <v>494</v>
      </c>
      <c r="D149" s="22" t="s">
        <v>6</v>
      </c>
      <c r="E149" s="19" t="s">
        <v>495</v>
      </c>
      <c r="F149" s="21" t="s">
        <v>8</v>
      </c>
      <c r="G149" s="19"/>
      <c r="H149" s="19" t="s">
        <v>496</v>
      </c>
      <c r="I149" s="19" t="s">
        <v>33</v>
      </c>
    </row>
    <row r="150" customFormat="false" ht="75.75" hidden="false" customHeight="true" outlineLevel="0" collapsed="false">
      <c r="A150" s="19" t="s">
        <v>33</v>
      </c>
      <c r="B150" s="19" t="s">
        <v>493</v>
      </c>
      <c r="C150" s="19" t="s">
        <v>497</v>
      </c>
      <c r="D150" s="20" t="s">
        <v>4</v>
      </c>
      <c r="E150" s="19" t="s">
        <v>498</v>
      </c>
      <c r="F150" s="20" t="s">
        <v>4</v>
      </c>
      <c r="G150" s="19" t="s">
        <v>499</v>
      </c>
      <c r="H150" s="19" t="s">
        <v>500</v>
      </c>
      <c r="I150" s="19" t="s">
        <v>33</v>
      </c>
    </row>
    <row r="151" customFormat="false" ht="27.75" hidden="false" customHeight="true" outlineLevel="0" collapsed="false">
      <c r="A151" s="19" t="s">
        <v>33</v>
      </c>
      <c r="B151" s="19" t="s">
        <v>501</v>
      </c>
      <c r="C151" s="19" t="s">
        <v>502</v>
      </c>
      <c r="D151" s="22" t="s">
        <v>6</v>
      </c>
      <c r="E151" s="19" t="s">
        <v>503</v>
      </c>
      <c r="F151" s="21" t="s">
        <v>8</v>
      </c>
      <c r="G151" s="19"/>
      <c r="H151" s="19" t="s">
        <v>504</v>
      </c>
      <c r="I151" s="19" t="s">
        <v>33</v>
      </c>
    </row>
    <row r="152" customFormat="false" ht="51.75" hidden="false" customHeight="true" outlineLevel="0" collapsed="false">
      <c r="A152" s="19" t="s">
        <v>33</v>
      </c>
      <c r="B152" s="19" t="s">
        <v>501</v>
      </c>
      <c r="C152" s="19" t="s">
        <v>505</v>
      </c>
      <c r="D152" s="20" t="s">
        <v>4</v>
      </c>
      <c r="E152" s="19" t="s">
        <v>506</v>
      </c>
      <c r="F152" s="20" t="s">
        <v>4</v>
      </c>
      <c r="G152" s="19" t="s">
        <v>507</v>
      </c>
      <c r="H152" s="19" t="s">
        <v>508</v>
      </c>
      <c r="I152" s="19" t="s">
        <v>33</v>
      </c>
    </row>
    <row r="153" customFormat="false" ht="15.75" hidden="false" customHeight="true" outlineLevel="0" collapsed="false">
      <c r="A153" s="19" t="s">
        <v>33</v>
      </c>
      <c r="B153" s="19" t="s">
        <v>509</v>
      </c>
      <c r="C153" s="19" t="s">
        <v>510</v>
      </c>
      <c r="D153" s="22" t="s">
        <v>6</v>
      </c>
      <c r="E153" s="19" t="s">
        <v>511</v>
      </c>
      <c r="F153" s="21" t="s">
        <v>8</v>
      </c>
      <c r="G153" s="19"/>
      <c r="H153" s="19" t="s">
        <v>512</v>
      </c>
      <c r="I153" s="19" t="s">
        <v>33</v>
      </c>
    </row>
    <row r="154" customFormat="false" ht="51.75" hidden="false" customHeight="true" outlineLevel="0" collapsed="false">
      <c r="A154" s="19" t="s">
        <v>33</v>
      </c>
      <c r="B154" s="19" t="s">
        <v>509</v>
      </c>
      <c r="C154" s="19" t="s">
        <v>513</v>
      </c>
      <c r="D154" s="22" t="s">
        <v>6</v>
      </c>
      <c r="E154" s="19" t="s">
        <v>514</v>
      </c>
      <c r="F154" s="22" t="s">
        <v>6</v>
      </c>
      <c r="G154" s="19" t="s">
        <v>515</v>
      </c>
      <c r="H154" s="19" t="s">
        <v>516</v>
      </c>
      <c r="I154" s="19" t="s">
        <v>33</v>
      </c>
    </row>
    <row r="155" customFormat="false" ht="39.75" hidden="false" customHeight="true" outlineLevel="0" collapsed="false">
      <c r="A155" s="19" t="s">
        <v>33</v>
      </c>
      <c r="B155" s="19" t="s">
        <v>517</v>
      </c>
      <c r="C155" s="19" t="s">
        <v>518</v>
      </c>
      <c r="D155" s="22" t="s">
        <v>6</v>
      </c>
      <c r="E155" s="19" t="s">
        <v>519</v>
      </c>
      <c r="F155" s="21" t="s">
        <v>8</v>
      </c>
      <c r="G155" s="19"/>
      <c r="H155" s="19" t="s">
        <v>520</v>
      </c>
      <c r="I155" s="19" t="s">
        <v>33</v>
      </c>
    </row>
    <row r="156" customFormat="false" ht="51.75" hidden="false" customHeight="true" outlineLevel="0" collapsed="false">
      <c r="A156" s="19" t="s">
        <v>33</v>
      </c>
      <c r="B156" s="19" t="s">
        <v>517</v>
      </c>
      <c r="C156" s="19" t="s">
        <v>521</v>
      </c>
      <c r="D156" s="21" t="s">
        <v>8</v>
      </c>
      <c r="E156" s="19" t="s">
        <v>522</v>
      </c>
      <c r="F156" s="21" t="s">
        <v>8</v>
      </c>
      <c r="G156" s="19"/>
      <c r="H156" s="19" t="s">
        <v>523</v>
      </c>
      <c r="I156" s="19" t="s">
        <v>33</v>
      </c>
    </row>
    <row r="157" customFormat="false" ht="51.75" hidden="false" customHeight="true" outlineLevel="0" collapsed="false">
      <c r="A157" s="19" t="s">
        <v>33</v>
      </c>
      <c r="B157" s="19" t="s">
        <v>517</v>
      </c>
      <c r="C157" s="19" t="s">
        <v>243</v>
      </c>
      <c r="D157" s="21" t="s">
        <v>8</v>
      </c>
      <c r="E157" s="19" t="s">
        <v>524</v>
      </c>
      <c r="F157" s="21" t="s">
        <v>8</v>
      </c>
      <c r="G157" s="19"/>
      <c r="H157" s="19" t="s">
        <v>525</v>
      </c>
      <c r="I157" s="19" t="s">
        <v>33</v>
      </c>
    </row>
    <row r="158" customFormat="false" ht="39.75" hidden="false" customHeight="true" outlineLevel="0" collapsed="false">
      <c r="A158" s="19" t="s">
        <v>33</v>
      </c>
      <c r="B158" s="19" t="s">
        <v>517</v>
      </c>
      <c r="C158" s="19" t="s">
        <v>246</v>
      </c>
      <c r="D158" s="21" t="s">
        <v>8</v>
      </c>
      <c r="E158" s="19" t="s">
        <v>526</v>
      </c>
      <c r="F158" s="21" t="s">
        <v>8</v>
      </c>
      <c r="G158" s="19"/>
      <c r="H158" s="19" t="s">
        <v>527</v>
      </c>
      <c r="I158" s="19" t="s">
        <v>33</v>
      </c>
    </row>
    <row r="159" customFormat="false" ht="99.75" hidden="false" customHeight="true" outlineLevel="0" collapsed="false">
      <c r="A159" s="19" t="s">
        <v>33</v>
      </c>
      <c r="B159" s="19" t="s">
        <v>517</v>
      </c>
      <c r="C159" s="19" t="s">
        <v>182</v>
      </c>
      <c r="D159" s="20" t="s">
        <v>4</v>
      </c>
      <c r="E159" s="19" t="s">
        <v>528</v>
      </c>
      <c r="F159" s="20" t="s">
        <v>4</v>
      </c>
      <c r="G159" s="19" t="s">
        <v>529</v>
      </c>
      <c r="H159" s="19" t="s">
        <v>530</v>
      </c>
      <c r="I159" s="19" t="s">
        <v>33</v>
      </c>
    </row>
    <row r="160" customFormat="false" ht="51.75" hidden="false" customHeight="true" outlineLevel="0" collapsed="false">
      <c r="A160" s="19" t="s">
        <v>33</v>
      </c>
      <c r="B160" s="19" t="s">
        <v>531</v>
      </c>
      <c r="C160" s="19" t="s">
        <v>532</v>
      </c>
      <c r="D160" s="22" t="s">
        <v>6</v>
      </c>
      <c r="E160" s="19" t="s">
        <v>533</v>
      </c>
      <c r="F160" s="21" t="s">
        <v>8</v>
      </c>
      <c r="G160" s="19"/>
      <c r="H160" s="19" t="s">
        <v>534</v>
      </c>
      <c r="I160" s="19" t="s">
        <v>33</v>
      </c>
    </row>
    <row r="161" customFormat="false" ht="39.75" hidden="false" customHeight="true" outlineLevel="0" collapsed="false">
      <c r="A161" s="19" t="s">
        <v>33</v>
      </c>
      <c r="B161" s="19" t="s">
        <v>531</v>
      </c>
      <c r="C161" s="19" t="s">
        <v>535</v>
      </c>
      <c r="D161" s="22" t="s">
        <v>6</v>
      </c>
      <c r="E161" s="19" t="s">
        <v>536</v>
      </c>
      <c r="F161" s="21" t="s">
        <v>8</v>
      </c>
      <c r="G161" s="19"/>
      <c r="H161" s="19" t="s">
        <v>537</v>
      </c>
      <c r="I161" s="19" t="s">
        <v>33</v>
      </c>
    </row>
    <row r="162" customFormat="false" ht="15.75" hidden="false" customHeight="true" outlineLevel="0" collapsed="false">
      <c r="A162" s="19" t="s">
        <v>33</v>
      </c>
      <c r="B162" s="19" t="s">
        <v>538</v>
      </c>
      <c r="C162" s="19" t="s">
        <v>539</v>
      </c>
      <c r="D162" s="22" t="s">
        <v>6</v>
      </c>
      <c r="E162" s="19" t="s">
        <v>540</v>
      </c>
      <c r="F162" s="21" t="s">
        <v>8</v>
      </c>
      <c r="G162" s="19"/>
      <c r="H162" s="19" t="s">
        <v>512</v>
      </c>
      <c r="I162" s="19" t="s">
        <v>33</v>
      </c>
    </row>
    <row r="163" customFormat="false" ht="75.75" hidden="false" customHeight="true" outlineLevel="0" collapsed="false">
      <c r="A163" s="19" t="s">
        <v>33</v>
      </c>
      <c r="B163" s="19" t="s">
        <v>538</v>
      </c>
      <c r="C163" s="19" t="s">
        <v>541</v>
      </c>
      <c r="D163" s="20" t="s">
        <v>4</v>
      </c>
      <c r="E163" s="19" t="s">
        <v>542</v>
      </c>
      <c r="F163" s="20" t="s">
        <v>4</v>
      </c>
      <c r="G163" s="19" t="s">
        <v>543</v>
      </c>
      <c r="H163" s="19" t="s">
        <v>544</v>
      </c>
      <c r="I163" s="19" t="s">
        <v>33</v>
      </c>
    </row>
    <row r="164" customFormat="false" ht="27.75" hidden="false" customHeight="true" outlineLevel="0" collapsed="false">
      <c r="A164" s="19" t="s">
        <v>33</v>
      </c>
      <c r="B164" s="19" t="s">
        <v>545</v>
      </c>
      <c r="C164" s="19" t="s">
        <v>546</v>
      </c>
      <c r="D164" s="22" t="s">
        <v>6</v>
      </c>
      <c r="E164" s="19" t="s">
        <v>547</v>
      </c>
      <c r="F164" s="21" t="s">
        <v>8</v>
      </c>
      <c r="G164" s="19"/>
      <c r="H164" s="19" t="s">
        <v>512</v>
      </c>
      <c r="I164" s="19" t="s">
        <v>33</v>
      </c>
    </row>
    <row r="165" customFormat="false" ht="111.75" hidden="false" customHeight="true" outlineLevel="0" collapsed="false">
      <c r="A165" s="19" t="s">
        <v>33</v>
      </c>
      <c r="B165" s="19" t="s">
        <v>545</v>
      </c>
      <c r="C165" s="19" t="s">
        <v>548</v>
      </c>
      <c r="D165" s="22" t="s">
        <v>6</v>
      </c>
      <c r="E165" s="19" t="s">
        <v>549</v>
      </c>
      <c r="F165" s="22" t="s">
        <v>6</v>
      </c>
      <c r="G165" s="19" t="s">
        <v>550</v>
      </c>
      <c r="H165" s="19" t="s">
        <v>551</v>
      </c>
      <c r="I165" s="19" t="s">
        <v>33</v>
      </c>
    </row>
    <row r="166" customFormat="false" ht="27.75" hidden="false" customHeight="true" outlineLevel="0" collapsed="false">
      <c r="A166" s="19" t="s">
        <v>33</v>
      </c>
      <c r="B166" s="19" t="s">
        <v>552</v>
      </c>
      <c r="C166" s="19" t="s">
        <v>553</v>
      </c>
      <c r="D166" s="23" t="s">
        <v>10</v>
      </c>
      <c r="E166" s="19" t="s">
        <v>554</v>
      </c>
      <c r="F166" s="23" t="s">
        <v>10</v>
      </c>
      <c r="G166" s="19"/>
      <c r="H166" s="19" t="s">
        <v>555</v>
      </c>
      <c r="I166" s="19" t="s">
        <v>33</v>
      </c>
    </row>
    <row r="167" customFormat="false" ht="27.75" hidden="false" customHeight="true" outlineLevel="0" collapsed="false">
      <c r="A167" s="19" t="s">
        <v>33</v>
      </c>
      <c r="B167" s="19" t="s">
        <v>556</v>
      </c>
      <c r="C167" s="19" t="s">
        <v>557</v>
      </c>
      <c r="D167" s="23" t="s">
        <v>10</v>
      </c>
      <c r="E167" s="19" t="s">
        <v>558</v>
      </c>
      <c r="F167" s="23" t="s">
        <v>10</v>
      </c>
      <c r="G167" s="19"/>
      <c r="H167" s="19" t="s">
        <v>555</v>
      </c>
      <c r="I167" s="19" t="s">
        <v>33</v>
      </c>
    </row>
    <row r="168" customFormat="false" ht="87.75" hidden="false" customHeight="true" outlineLevel="0" collapsed="false">
      <c r="A168" s="19" t="s">
        <v>33</v>
      </c>
      <c r="B168" s="19" t="s">
        <v>559</v>
      </c>
      <c r="C168" s="19" t="s">
        <v>560</v>
      </c>
      <c r="D168" s="20" t="s">
        <v>4</v>
      </c>
      <c r="E168" s="19" t="s">
        <v>561</v>
      </c>
      <c r="F168" s="20" t="s">
        <v>4</v>
      </c>
      <c r="G168" s="19" t="s">
        <v>562</v>
      </c>
      <c r="H168" s="19" t="s">
        <v>563</v>
      </c>
      <c r="I168" s="19" t="s">
        <v>33</v>
      </c>
    </row>
    <row r="169" customFormat="false" ht="63.75" hidden="false" customHeight="true" outlineLevel="0" collapsed="false">
      <c r="A169" s="19" t="s">
        <v>33</v>
      </c>
      <c r="B169" s="19" t="s">
        <v>559</v>
      </c>
      <c r="C169" s="19" t="s">
        <v>564</v>
      </c>
      <c r="D169" s="20" t="s">
        <v>4</v>
      </c>
      <c r="E169" s="19" t="s">
        <v>565</v>
      </c>
      <c r="F169" s="21" t="s">
        <v>8</v>
      </c>
      <c r="G169" s="19" t="s">
        <v>566</v>
      </c>
      <c r="H169" s="19" t="s">
        <v>567</v>
      </c>
      <c r="I169" s="19" t="s">
        <v>33</v>
      </c>
    </row>
    <row r="170" customFormat="false" ht="39.75" hidden="false" customHeight="true" outlineLevel="0" collapsed="false">
      <c r="A170" s="19" t="s">
        <v>33</v>
      </c>
      <c r="B170" s="19" t="s">
        <v>568</v>
      </c>
      <c r="C170" s="19" t="s">
        <v>569</v>
      </c>
      <c r="D170" s="23" t="s">
        <v>10</v>
      </c>
      <c r="E170" s="19"/>
      <c r="F170" s="23" t="s">
        <v>10</v>
      </c>
      <c r="G170" s="19"/>
      <c r="H170" s="19" t="s">
        <v>570</v>
      </c>
      <c r="I170" s="19" t="s">
        <v>33</v>
      </c>
    </row>
    <row r="171" customFormat="false" ht="63.75" hidden="false" customHeight="true" outlineLevel="0" collapsed="false">
      <c r="A171" s="19" t="s">
        <v>33</v>
      </c>
      <c r="B171" s="19" t="s">
        <v>571</v>
      </c>
      <c r="C171" s="19" t="s">
        <v>572</v>
      </c>
      <c r="D171" s="20" t="s">
        <v>4</v>
      </c>
      <c r="E171" s="19" t="s">
        <v>573</v>
      </c>
      <c r="F171" s="20" t="s">
        <v>4</v>
      </c>
      <c r="G171" s="19" t="s">
        <v>574</v>
      </c>
      <c r="H171" s="19" t="s">
        <v>575</v>
      </c>
      <c r="I171" s="19" t="s">
        <v>33</v>
      </c>
    </row>
    <row r="172" customFormat="false" ht="75.75" hidden="false" customHeight="true" outlineLevel="0" collapsed="false">
      <c r="A172" s="19" t="s">
        <v>33</v>
      </c>
      <c r="B172" s="19" t="s">
        <v>571</v>
      </c>
      <c r="C172" s="19" t="s">
        <v>576</v>
      </c>
      <c r="D172" s="20" t="s">
        <v>4</v>
      </c>
      <c r="E172" s="19" t="s">
        <v>577</v>
      </c>
      <c r="F172" s="20" t="s">
        <v>4</v>
      </c>
      <c r="G172" s="19" t="s">
        <v>578</v>
      </c>
      <c r="H172" s="19" t="s">
        <v>579</v>
      </c>
      <c r="I172" s="19" t="s">
        <v>33</v>
      </c>
    </row>
    <row r="173" customFormat="false" ht="15.75" hidden="false" customHeight="true" outlineLevel="0" collapsed="false">
      <c r="A173" s="19" t="s">
        <v>33</v>
      </c>
      <c r="B173" s="19" t="s">
        <v>580</v>
      </c>
      <c r="C173" s="19" t="s">
        <v>581</v>
      </c>
      <c r="D173" s="23" t="s">
        <v>10</v>
      </c>
      <c r="E173" s="19"/>
      <c r="F173" s="23" t="s">
        <v>10</v>
      </c>
      <c r="G173" s="19"/>
      <c r="H173" s="19" t="s">
        <v>582</v>
      </c>
      <c r="I173" s="19" t="s">
        <v>33</v>
      </c>
    </row>
    <row r="174" customFormat="false" ht="87.75" hidden="false" customHeight="true" outlineLevel="0" collapsed="false">
      <c r="A174" s="19" t="s">
        <v>583</v>
      </c>
      <c r="B174" s="19" t="s">
        <v>584</v>
      </c>
      <c r="C174" s="19" t="s">
        <v>585</v>
      </c>
      <c r="D174" s="20" t="s">
        <v>4</v>
      </c>
      <c r="E174" s="19" t="s">
        <v>586</v>
      </c>
      <c r="F174" s="20" t="s">
        <v>4</v>
      </c>
      <c r="G174" s="19" t="s">
        <v>587</v>
      </c>
      <c r="H174" s="19" t="s">
        <v>588</v>
      </c>
      <c r="I174" s="19" t="s">
        <v>33</v>
      </c>
    </row>
    <row r="175" customFormat="false" ht="39.75" hidden="false" customHeight="true" outlineLevel="0" collapsed="false">
      <c r="A175" s="19" t="s">
        <v>35</v>
      </c>
      <c r="B175" s="19" t="s">
        <v>589</v>
      </c>
      <c r="C175" s="19" t="s">
        <v>590</v>
      </c>
      <c r="D175" s="20" t="s">
        <v>4</v>
      </c>
      <c r="E175" s="19" t="s">
        <v>591</v>
      </c>
      <c r="F175" s="21" t="s">
        <v>8</v>
      </c>
      <c r="G175" s="19"/>
      <c r="H175" s="19" t="s">
        <v>592</v>
      </c>
      <c r="I175" s="19" t="s">
        <v>35</v>
      </c>
    </row>
    <row r="176" customFormat="false" ht="27.75" hidden="false" customHeight="true" outlineLevel="0" collapsed="false">
      <c r="A176" s="19" t="s">
        <v>35</v>
      </c>
      <c r="B176" s="19" t="s">
        <v>589</v>
      </c>
      <c r="C176" s="19" t="s">
        <v>593</v>
      </c>
      <c r="D176" s="21" t="s">
        <v>8</v>
      </c>
      <c r="E176" s="19"/>
      <c r="F176" s="21" t="s">
        <v>8</v>
      </c>
      <c r="G176" s="19"/>
      <c r="H176" s="19" t="s">
        <v>594</v>
      </c>
      <c r="I176" s="19" t="s">
        <v>35</v>
      </c>
    </row>
    <row r="177" customFormat="false" ht="39.75" hidden="false" customHeight="true" outlineLevel="0" collapsed="false">
      <c r="A177" s="19" t="s">
        <v>35</v>
      </c>
      <c r="B177" s="19" t="s">
        <v>589</v>
      </c>
      <c r="C177" s="19" t="s">
        <v>595</v>
      </c>
      <c r="D177" s="22" t="s">
        <v>6</v>
      </c>
      <c r="E177" s="19" t="s">
        <v>596</v>
      </c>
      <c r="F177" s="21" t="s">
        <v>8</v>
      </c>
      <c r="G177" s="19"/>
      <c r="H177" s="19" t="s">
        <v>597</v>
      </c>
      <c r="I177" s="19" t="s">
        <v>35</v>
      </c>
    </row>
    <row r="178" customFormat="false" ht="27.75" hidden="false" customHeight="true" outlineLevel="0" collapsed="false">
      <c r="A178" s="19" t="s">
        <v>35</v>
      </c>
      <c r="B178" s="19" t="s">
        <v>589</v>
      </c>
      <c r="C178" s="19" t="s">
        <v>598</v>
      </c>
      <c r="D178" s="21" t="s">
        <v>8</v>
      </c>
      <c r="E178" s="19"/>
      <c r="F178" s="21" t="s">
        <v>8</v>
      </c>
      <c r="G178" s="19"/>
      <c r="H178" s="19" t="s">
        <v>599</v>
      </c>
      <c r="I178" s="19" t="s">
        <v>35</v>
      </c>
    </row>
    <row r="179" customFormat="false" ht="51.75" hidden="false" customHeight="true" outlineLevel="0" collapsed="false">
      <c r="A179" s="19" t="s">
        <v>35</v>
      </c>
      <c r="B179" s="19" t="s">
        <v>589</v>
      </c>
      <c r="C179" s="19" t="s">
        <v>200</v>
      </c>
      <c r="D179" s="22" t="s">
        <v>6</v>
      </c>
      <c r="E179" s="19" t="s">
        <v>600</v>
      </c>
      <c r="F179" s="21" t="s">
        <v>8</v>
      </c>
      <c r="G179" s="19"/>
      <c r="H179" s="19" t="s">
        <v>601</v>
      </c>
      <c r="I179" s="19" t="s">
        <v>35</v>
      </c>
    </row>
    <row r="180" customFormat="false" ht="15.75" hidden="false" customHeight="true" outlineLevel="0" collapsed="false">
      <c r="A180" s="19" t="s">
        <v>35</v>
      </c>
      <c r="B180" s="19" t="s">
        <v>602</v>
      </c>
      <c r="C180" s="19" t="s">
        <v>603</v>
      </c>
      <c r="D180" s="23" t="s">
        <v>10</v>
      </c>
      <c r="E180" s="19"/>
      <c r="F180" s="23" t="s">
        <v>10</v>
      </c>
      <c r="G180" s="19"/>
      <c r="H180" s="19" t="s">
        <v>604</v>
      </c>
      <c r="I180" s="19" t="s">
        <v>35</v>
      </c>
    </row>
    <row r="181" customFormat="false" ht="15.75" hidden="false" customHeight="true" outlineLevel="0" collapsed="false">
      <c r="A181" s="19" t="s">
        <v>35</v>
      </c>
      <c r="B181" s="19" t="s">
        <v>605</v>
      </c>
      <c r="C181" s="19" t="s">
        <v>606</v>
      </c>
      <c r="D181" s="23" t="s">
        <v>10</v>
      </c>
      <c r="E181" s="19"/>
      <c r="F181" s="23" t="s">
        <v>10</v>
      </c>
      <c r="G181" s="19"/>
      <c r="H181" s="19" t="s">
        <v>607</v>
      </c>
      <c r="I181" s="19" t="s">
        <v>35</v>
      </c>
    </row>
    <row r="182" customFormat="false" ht="15.75" hidden="false" customHeight="true" outlineLevel="0" collapsed="false">
      <c r="A182" s="19" t="s">
        <v>35</v>
      </c>
      <c r="B182" s="19" t="s">
        <v>608</v>
      </c>
      <c r="C182" s="19" t="s">
        <v>606</v>
      </c>
      <c r="D182" s="23" t="s">
        <v>10</v>
      </c>
      <c r="E182" s="19"/>
      <c r="F182" s="23" t="s">
        <v>10</v>
      </c>
      <c r="G182" s="19"/>
      <c r="H182" s="19" t="s">
        <v>607</v>
      </c>
      <c r="I182" s="19" t="s">
        <v>35</v>
      </c>
    </row>
    <row r="183" customFormat="false" ht="15.75" hidden="false" customHeight="true" outlineLevel="0" collapsed="false">
      <c r="A183" s="19" t="s">
        <v>35</v>
      </c>
      <c r="B183" s="19" t="s">
        <v>609</v>
      </c>
      <c r="C183" s="19" t="s">
        <v>606</v>
      </c>
      <c r="D183" s="23" t="s">
        <v>10</v>
      </c>
      <c r="E183" s="19"/>
      <c r="F183" s="23" t="s">
        <v>10</v>
      </c>
      <c r="G183" s="19"/>
      <c r="H183" s="19" t="s">
        <v>607</v>
      </c>
      <c r="I183" s="19" t="s">
        <v>35</v>
      </c>
    </row>
    <row r="184" customFormat="false" ht="15.75" hidden="false" customHeight="true" outlineLevel="0" collapsed="false">
      <c r="A184" s="19" t="s">
        <v>35</v>
      </c>
      <c r="B184" s="19" t="s">
        <v>610</v>
      </c>
      <c r="C184" s="19" t="s">
        <v>606</v>
      </c>
      <c r="D184" s="23" t="s">
        <v>10</v>
      </c>
      <c r="E184" s="19"/>
      <c r="F184" s="23" t="s">
        <v>10</v>
      </c>
      <c r="G184" s="19"/>
      <c r="H184" s="19" t="s">
        <v>607</v>
      </c>
      <c r="I184" s="19" t="s">
        <v>35</v>
      </c>
    </row>
    <row r="185" customFormat="false" ht="15.75" hidden="false" customHeight="true" outlineLevel="0" collapsed="false">
      <c r="A185" s="19" t="s">
        <v>35</v>
      </c>
      <c r="B185" s="19" t="s">
        <v>611</v>
      </c>
      <c r="C185" s="19" t="s">
        <v>606</v>
      </c>
      <c r="D185" s="23" t="s">
        <v>10</v>
      </c>
      <c r="E185" s="19"/>
      <c r="F185" s="23" t="s">
        <v>10</v>
      </c>
      <c r="G185" s="19"/>
      <c r="H185" s="19" t="s">
        <v>607</v>
      </c>
      <c r="I185" s="19" t="s">
        <v>35</v>
      </c>
    </row>
    <row r="186" customFormat="false" ht="15.75" hidden="false" customHeight="true" outlineLevel="0" collapsed="false">
      <c r="A186" s="19" t="s">
        <v>35</v>
      </c>
      <c r="B186" s="19" t="s">
        <v>612</v>
      </c>
      <c r="C186" s="19" t="s">
        <v>606</v>
      </c>
      <c r="D186" s="23" t="s">
        <v>10</v>
      </c>
      <c r="E186" s="19"/>
      <c r="F186" s="23" t="s">
        <v>10</v>
      </c>
      <c r="G186" s="19"/>
      <c r="H186" s="19" t="s">
        <v>607</v>
      </c>
      <c r="I186" s="19" t="s">
        <v>35</v>
      </c>
    </row>
    <row r="187" customFormat="false" ht="15.75" hidden="false" customHeight="true" outlineLevel="0" collapsed="false">
      <c r="A187" s="19" t="s">
        <v>35</v>
      </c>
      <c r="B187" s="19" t="s">
        <v>613</v>
      </c>
      <c r="C187" s="19" t="s">
        <v>614</v>
      </c>
      <c r="D187" s="23" t="s">
        <v>10</v>
      </c>
      <c r="E187" s="19"/>
      <c r="F187" s="23" t="s">
        <v>10</v>
      </c>
      <c r="G187" s="19"/>
      <c r="H187" s="19" t="s">
        <v>615</v>
      </c>
      <c r="I187" s="19" t="s">
        <v>35</v>
      </c>
    </row>
    <row r="188" customFormat="false" ht="51.75" hidden="false" customHeight="true" outlineLevel="0" collapsed="false">
      <c r="A188" s="19" t="s">
        <v>35</v>
      </c>
      <c r="B188" s="19" t="s">
        <v>616</v>
      </c>
      <c r="C188" s="19" t="s">
        <v>617</v>
      </c>
      <c r="D188" s="20" t="s">
        <v>4</v>
      </c>
      <c r="E188" s="19" t="s">
        <v>618</v>
      </c>
      <c r="F188" s="21" t="s">
        <v>8</v>
      </c>
      <c r="G188" s="19"/>
      <c r="H188" s="19" t="s">
        <v>619</v>
      </c>
      <c r="I188" s="19" t="s">
        <v>35</v>
      </c>
    </row>
    <row r="189" customFormat="false" ht="39.75" hidden="false" customHeight="true" outlineLevel="0" collapsed="false">
      <c r="A189" s="19" t="s">
        <v>35</v>
      </c>
      <c r="B189" s="19" t="s">
        <v>616</v>
      </c>
      <c r="C189" s="19" t="s">
        <v>620</v>
      </c>
      <c r="D189" s="20" t="s">
        <v>4</v>
      </c>
      <c r="E189" s="19" t="s">
        <v>621</v>
      </c>
      <c r="F189" s="21" t="s">
        <v>8</v>
      </c>
      <c r="G189" s="19"/>
      <c r="H189" s="19" t="s">
        <v>622</v>
      </c>
      <c r="I189" s="19" t="s">
        <v>35</v>
      </c>
    </row>
    <row r="190" customFormat="false" ht="51.75" hidden="false" customHeight="true" outlineLevel="0" collapsed="false">
      <c r="A190" s="19" t="s">
        <v>35</v>
      </c>
      <c r="B190" s="19" t="s">
        <v>623</v>
      </c>
      <c r="C190" s="19" t="s">
        <v>624</v>
      </c>
      <c r="D190" s="20" t="s">
        <v>4</v>
      </c>
      <c r="E190" s="19" t="s">
        <v>625</v>
      </c>
      <c r="F190" s="21" t="s">
        <v>8</v>
      </c>
      <c r="G190" s="19"/>
      <c r="H190" s="19" t="s">
        <v>626</v>
      </c>
      <c r="I190" s="19" t="s">
        <v>35</v>
      </c>
    </row>
    <row r="191" customFormat="false" ht="39.75" hidden="false" customHeight="true" outlineLevel="0" collapsed="false">
      <c r="A191" s="19" t="s">
        <v>35</v>
      </c>
      <c r="B191" s="19" t="s">
        <v>623</v>
      </c>
      <c r="C191" s="19" t="s">
        <v>179</v>
      </c>
      <c r="D191" s="20" t="s">
        <v>4</v>
      </c>
      <c r="E191" s="19" t="s">
        <v>627</v>
      </c>
      <c r="F191" s="21" t="s">
        <v>8</v>
      </c>
      <c r="G191" s="19"/>
      <c r="H191" s="19" t="s">
        <v>628</v>
      </c>
      <c r="I191" s="19" t="s">
        <v>35</v>
      </c>
    </row>
    <row r="192" customFormat="false" ht="87.75" hidden="false" customHeight="true" outlineLevel="0" collapsed="false">
      <c r="A192" s="19" t="s">
        <v>35</v>
      </c>
      <c r="B192" s="19" t="s">
        <v>629</v>
      </c>
      <c r="C192" s="19" t="s">
        <v>630</v>
      </c>
      <c r="D192" s="20" t="s">
        <v>4</v>
      </c>
      <c r="E192" s="19" t="s">
        <v>631</v>
      </c>
      <c r="F192" s="20" t="s">
        <v>4</v>
      </c>
      <c r="G192" s="19" t="s">
        <v>632</v>
      </c>
      <c r="H192" s="19" t="s">
        <v>633</v>
      </c>
      <c r="I192" s="19" t="s">
        <v>35</v>
      </c>
    </row>
    <row r="193" customFormat="false" ht="27.75" hidden="false" customHeight="true" outlineLevel="0" collapsed="false">
      <c r="A193" s="19" t="s">
        <v>35</v>
      </c>
      <c r="B193" s="19" t="s">
        <v>629</v>
      </c>
      <c r="C193" s="19" t="s">
        <v>634</v>
      </c>
      <c r="D193" s="21" t="s">
        <v>8</v>
      </c>
      <c r="E193" s="19"/>
      <c r="F193" s="21" t="s">
        <v>8</v>
      </c>
      <c r="G193" s="19"/>
      <c r="H193" s="19" t="s">
        <v>635</v>
      </c>
      <c r="I193" s="19" t="s">
        <v>35</v>
      </c>
    </row>
    <row r="194" customFormat="false" ht="39.75" hidden="false" customHeight="true" outlineLevel="0" collapsed="false">
      <c r="A194" s="19" t="s">
        <v>35</v>
      </c>
      <c r="B194" s="19" t="s">
        <v>629</v>
      </c>
      <c r="C194" s="19" t="s">
        <v>636</v>
      </c>
      <c r="D194" s="20" t="s">
        <v>4</v>
      </c>
      <c r="E194" s="19" t="s">
        <v>637</v>
      </c>
      <c r="F194" s="21" t="s">
        <v>8</v>
      </c>
      <c r="G194" s="19"/>
      <c r="H194" s="19" t="s">
        <v>638</v>
      </c>
      <c r="I194" s="19" t="s">
        <v>35</v>
      </c>
    </row>
    <row r="195" customFormat="false" ht="39.75" hidden="false" customHeight="true" outlineLevel="0" collapsed="false">
      <c r="A195" s="19" t="s">
        <v>35</v>
      </c>
      <c r="B195" s="19" t="s">
        <v>629</v>
      </c>
      <c r="C195" s="19" t="s">
        <v>639</v>
      </c>
      <c r="D195" s="20" t="s">
        <v>4</v>
      </c>
      <c r="E195" s="19" t="s">
        <v>640</v>
      </c>
      <c r="F195" s="21" t="s">
        <v>8</v>
      </c>
      <c r="G195" s="19"/>
      <c r="H195" s="19" t="s">
        <v>641</v>
      </c>
      <c r="I195" s="19" t="s">
        <v>35</v>
      </c>
    </row>
    <row r="196" customFormat="false" ht="51.75" hidden="false" customHeight="true" outlineLevel="0" collapsed="false">
      <c r="A196" s="19" t="s">
        <v>35</v>
      </c>
      <c r="B196" s="19" t="s">
        <v>642</v>
      </c>
      <c r="C196" s="19" t="s">
        <v>643</v>
      </c>
      <c r="D196" s="22" t="s">
        <v>6</v>
      </c>
      <c r="E196" s="19" t="s">
        <v>644</v>
      </c>
      <c r="F196" s="20" t="s">
        <v>4</v>
      </c>
      <c r="G196" s="19" t="s">
        <v>645</v>
      </c>
      <c r="H196" s="19" t="s">
        <v>646</v>
      </c>
      <c r="I196" s="19" t="s">
        <v>35</v>
      </c>
    </row>
    <row r="197" customFormat="false" ht="51.75" hidden="false" customHeight="true" outlineLevel="0" collapsed="false">
      <c r="A197" s="19" t="s">
        <v>35</v>
      </c>
      <c r="B197" s="19" t="s">
        <v>647</v>
      </c>
      <c r="C197" s="19" t="s">
        <v>648</v>
      </c>
      <c r="D197" s="20" t="s">
        <v>4</v>
      </c>
      <c r="E197" s="19" t="s">
        <v>649</v>
      </c>
      <c r="F197" s="20" t="s">
        <v>4</v>
      </c>
      <c r="G197" s="19" t="s">
        <v>650</v>
      </c>
      <c r="H197" s="19" t="s">
        <v>651</v>
      </c>
      <c r="I197" s="19" t="s">
        <v>35</v>
      </c>
    </row>
    <row r="198" customFormat="false" ht="51.75" hidden="false" customHeight="true" outlineLevel="0" collapsed="false">
      <c r="A198" s="19" t="s">
        <v>35</v>
      </c>
      <c r="B198" s="19" t="s">
        <v>652</v>
      </c>
      <c r="C198" s="19" t="s">
        <v>653</v>
      </c>
      <c r="D198" s="22" t="s">
        <v>6</v>
      </c>
      <c r="E198" s="19" t="s">
        <v>654</v>
      </c>
      <c r="F198" s="21" t="s">
        <v>8</v>
      </c>
      <c r="G198" s="19"/>
      <c r="H198" s="19" t="s">
        <v>655</v>
      </c>
      <c r="I198" s="19" t="s">
        <v>35</v>
      </c>
    </row>
    <row r="199" customFormat="false" ht="39.75" hidden="false" customHeight="true" outlineLevel="0" collapsed="false">
      <c r="A199" s="19" t="s">
        <v>35</v>
      </c>
      <c r="B199" s="19" t="s">
        <v>652</v>
      </c>
      <c r="C199" s="19" t="s">
        <v>656</v>
      </c>
      <c r="D199" s="21" t="s">
        <v>8</v>
      </c>
      <c r="E199" s="19"/>
      <c r="F199" s="21" t="s">
        <v>8</v>
      </c>
      <c r="G199" s="19"/>
      <c r="H199" s="19" t="s">
        <v>657</v>
      </c>
      <c r="I199" s="19" t="s">
        <v>35</v>
      </c>
    </row>
    <row r="200" customFormat="false" ht="39.75" hidden="false" customHeight="true" outlineLevel="0" collapsed="false">
      <c r="A200" s="19" t="s">
        <v>35</v>
      </c>
      <c r="B200" s="19" t="s">
        <v>658</v>
      </c>
      <c r="C200" s="19" t="s">
        <v>659</v>
      </c>
      <c r="D200" s="20" t="s">
        <v>4</v>
      </c>
      <c r="E200" s="19" t="s">
        <v>660</v>
      </c>
      <c r="F200" s="21" t="s">
        <v>8</v>
      </c>
      <c r="G200" s="19"/>
      <c r="H200" s="19" t="s">
        <v>661</v>
      </c>
      <c r="I200" s="19" t="s">
        <v>35</v>
      </c>
    </row>
    <row r="201" customFormat="false" ht="51.75" hidden="false" customHeight="true" outlineLevel="0" collapsed="false">
      <c r="A201" s="19" t="s">
        <v>35</v>
      </c>
      <c r="B201" s="19" t="s">
        <v>658</v>
      </c>
      <c r="C201" s="19" t="s">
        <v>662</v>
      </c>
      <c r="D201" s="20" t="s">
        <v>4</v>
      </c>
      <c r="E201" s="19" t="s">
        <v>663</v>
      </c>
      <c r="F201" s="21" t="s">
        <v>8</v>
      </c>
      <c r="G201" s="19"/>
      <c r="H201" s="19" t="s">
        <v>664</v>
      </c>
      <c r="I201" s="19" t="s">
        <v>35</v>
      </c>
    </row>
    <row r="202" customFormat="false" ht="63.75" hidden="false" customHeight="true" outlineLevel="0" collapsed="false">
      <c r="A202" s="19" t="s">
        <v>35</v>
      </c>
      <c r="B202" s="19" t="s">
        <v>658</v>
      </c>
      <c r="C202" s="19" t="s">
        <v>665</v>
      </c>
      <c r="D202" s="20" t="s">
        <v>4</v>
      </c>
      <c r="E202" s="19" t="s">
        <v>666</v>
      </c>
      <c r="F202" s="22" t="s">
        <v>6</v>
      </c>
      <c r="G202" s="19" t="s">
        <v>667</v>
      </c>
      <c r="H202" s="19" t="s">
        <v>668</v>
      </c>
      <c r="I202" s="19" t="s">
        <v>35</v>
      </c>
    </row>
    <row r="203" customFormat="false" ht="51.75" hidden="false" customHeight="true" outlineLevel="0" collapsed="false">
      <c r="A203" s="19" t="s">
        <v>35</v>
      </c>
      <c r="B203" s="19" t="s">
        <v>669</v>
      </c>
      <c r="C203" s="19" t="s">
        <v>670</v>
      </c>
      <c r="D203" s="20" t="s">
        <v>4</v>
      </c>
      <c r="E203" s="19" t="s">
        <v>671</v>
      </c>
      <c r="F203" s="21" t="s">
        <v>8</v>
      </c>
      <c r="G203" s="19"/>
      <c r="H203" s="19" t="s">
        <v>672</v>
      </c>
      <c r="I203" s="19" t="s">
        <v>35</v>
      </c>
    </row>
    <row r="204" customFormat="false" ht="75.75" hidden="false" customHeight="true" outlineLevel="0" collapsed="false">
      <c r="A204" s="19" t="s">
        <v>35</v>
      </c>
      <c r="B204" s="19" t="s">
        <v>669</v>
      </c>
      <c r="C204" s="19" t="s">
        <v>673</v>
      </c>
      <c r="D204" s="20" t="s">
        <v>4</v>
      </c>
      <c r="E204" s="19" t="s">
        <v>674</v>
      </c>
      <c r="F204" s="20" t="s">
        <v>4</v>
      </c>
      <c r="G204" s="19" t="s">
        <v>675</v>
      </c>
      <c r="H204" s="19" t="s">
        <v>676</v>
      </c>
      <c r="I204" s="19" t="s">
        <v>35</v>
      </c>
    </row>
    <row r="205" customFormat="false" ht="39.75" hidden="false" customHeight="true" outlineLevel="0" collapsed="false">
      <c r="A205" s="19" t="s">
        <v>35</v>
      </c>
      <c r="B205" s="19" t="s">
        <v>677</v>
      </c>
      <c r="C205" s="19" t="s">
        <v>678</v>
      </c>
      <c r="D205" s="20" t="s">
        <v>4</v>
      </c>
      <c r="E205" s="19" t="s">
        <v>679</v>
      </c>
      <c r="F205" s="21" t="s">
        <v>8</v>
      </c>
      <c r="G205" s="19"/>
      <c r="H205" s="19" t="s">
        <v>680</v>
      </c>
      <c r="I205" s="19" t="s">
        <v>35</v>
      </c>
    </row>
    <row r="206" customFormat="false" ht="27.75" hidden="false" customHeight="true" outlineLevel="0" collapsed="false">
      <c r="A206" s="19" t="s">
        <v>35</v>
      </c>
      <c r="B206" s="19" t="s">
        <v>677</v>
      </c>
      <c r="C206" s="19" t="s">
        <v>681</v>
      </c>
      <c r="D206" s="20" t="s">
        <v>4</v>
      </c>
      <c r="E206" s="19" t="s">
        <v>682</v>
      </c>
      <c r="F206" s="20" t="s">
        <v>4</v>
      </c>
      <c r="G206" s="19" t="s">
        <v>683</v>
      </c>
      <c r="H206" s="19" t="s">
        <v>684</v>
      </c>
      <c r="I206" s="19" t="s">
        <v>35</v>
      </c>
    </row>
    <row r="207" customFormat="false" ht="51.75" hidden="false" customHeight="true" outlineLevel="0" collapsed="false">
      <c r="A207" s="19" t="s">
        <v>35</v>
      </c>
      <c r="B207" s="19" t="s">
        <v>677</v>
      </c>
      <c r="C207" s="19" t="s">
        <v>685</v>
      </c>
      <c r="D207" s="20" t="s">
        <v>4</v>
      </c>
      <c r="E207" s="19" t="s">
        <v>686</v>
      </c>
      <c r="F207" s="20" t="s">
        <v>4</v>
      </c>
      <c r="G207" s="19" t="s">
        <v>687</v>
      </c>
      <c r="H207" s="19" t="s">
        <v>688</v>
      </c>
      <c r="I207" s="19" t="s">
        <v>35</v>
      </c>
    </row>
    <row r="208" customFormat="false" ht="39.75" hidden="false" customHeight="true" outlineLevel="0" collapsed="false">
      <c r="A208" s="19" t="s">
        <v>35</v>
      </c>
      <c r="B208" s="19" t="s">
        <v>677</v>
      </c>
      <c r="C208" s="19" t="s">
        <v>689</v>
      </c>
      <c r="D208" s="20" t="s">
        <v>4</v>
      </c>
      <c r="E208" s="19" t="s">
        <v>690</v>
      </c>
      <c r="F208" s="20" t="s">
        <v>4</v>
      </c>
      <c r="G208" s="19" t="s">
        <v>691</v>
      </c>
      <c r="H208" s="19" t="s">
        <v>692</v>
      </c>
      <c r="I208" s="19" t="s">
        <v>35</v>
      </c>
    </row>
    <row r="209" customFormat="false" ht="39.75" hidden="false" customHeight="true" outlineLevel="0" collapsed="false">
      <c r="A209" s="19" t="s">
        <v>35</v>
      </c>
      <c r="B209" s="19" t="s">
        <v>677</v>
      </c>
      <c r="C209" s="19" t="s">
        <v>200</v>
      </c>
      <c r="D209" s="20" t="s">
        <v>4</v>
      </c>
      <c r="E209" s="19" t="s">
        <v>693</v>
      </c>
      <c r="F209" s="21" t="s">
        <v>8</v>
      </c>
      <c r="G209" s="19"/>
      <c r="H209" s="19" t="s">
        <v>694</v>
      </c>
      <c r="I209" s="19" t="s">
        <v>35</v>
      </c>
    </row>
    <row r="210" customFormat="false" ht="51.75" hidden="false" customHeight="true" outlineLevel="0" collapsed="false">
      <c r="A210" s="19" t="s">
        <v>35</v>
      </c>
      <c r="B210" s="19" t="s">
        <v>695</v>
      </c>
      <c r="C210" s="19" t="s">
        <v>696</v>
      </c>
      <c r="D210" s="20" t="s">
        <v>4</v>
      </c>
      <c r="E210" s="19" t="s">
        <v>697</v>
      </c>
      <c r="F210" s="20" t="s">
        <v>4</v>
      </c>
      <c r="G210" s="19" t="s">
        <v>698</v>
      </c>
      <c r="H210" s="19" t="s">
        <v>699</v>
      </c>
      <c r="I210" s="19" t="s">
        <v>35</v>
      </c>
    </row>
    <row r="211" customFormat="false" ht="39.75" hidden="false" customHeight="true" outlineLevel="0" collapsed="false">
      <c r="A211" s="19" t="s">
        <v>35</v>
      </c>
      <c r="B211" s="19" t="s">
        <v>700</v>
      </c>
      <c r="C211" s="19" t="s">
        <v>701</v>
      </c>
      <c r="D211" s="20" t="s">
        <v>4</v>
      </c>
      <c r="E211" s="19" t="s">
        <v>702</v>
      </c>
      <c r="F211" s="21" t="s">
        <v>8</v>
      </c>
      <c r="G211" s="19"/>
      <c r="H211" s="19" t="s">
        <v>703</v>
      </c>
      <c r="I211" s="19" t="s">
        <v>35</v>
      </c>
    </row>
    <row r="212" customFormat="false" ht="39.75" hidden="false" customHeight="true" outlineLevel="0" collapsed="false">
      <c r="A212" s="19" t="s">
        <v>35</v>
      </c>
      <c r="B212" s="19" t="s">
        <v>700</v>
      </c>
      <c r="C212" s="19" t="s">
        <v>179</v>
      </c>
      <c r="D212" s="20" t="s">
        <v>4</v>
      </c>
      <c r="E212" s="19" t="s">
        <v>702</v>
      </c>
      <c r="F212" s="21" t="s">
        <v>8</v>
      </c>
      <c r="G212" s="19"/>
      <c r="H212" s="19" t="s">
        <v>704</v>
      </c>
      <c r="I212" s="19" t="s">
        <v>35</v>
      </c>
    </row>
    <row r="213" customFormat="false" ht="39.75" hidden="false" customHeight="true" outlineLevel="0" collapsed="false">
      <c r="A213" s="19" t="s">
        <v>35</v>
      </c>
      <c r="B213" s="19" t="s">
        <v>700</v>
      </c>
      <c r="C213" s="19" t="s">
        <v>182</v>
      </c>
      <c r="D213" s="20" t="s">
        <v>4</v>
      </c>
      <c r="E213" s="19" t="s">
        <v>705</v>
      </c>
      <c r="F213" s="20" t="s">
        <v>4</v>
      </c>
      <c r="G213" s="19" t="s">
        <v>706</v>
      </c>
      <c r="H213" s="19" t="s">
        <v>707</v>
      </c>
      <c r="I213" s="19" t="s">
        <v>35</v>
      </c>
    </row>
    <row r="214" customFormat="false" ht="27.75" hidden="false" customHeight="true" outlineLevel="0" collapsed="false">
      <c r="A214" s="19" t="s">
        <v>35</v>
      </c>
      <c r="B214" s="19" t="s">
        <v>708</v>
      </c>
      <c r="C214" s="19" t="s">
        <v>709</v>
      </c>
      <c r="D214" s="20" t="s">
        <v>4</v>
      </c>
      <c r="E214" s="19" t="s">
        <v>710</v>
      </c>
      <c r="F214" s="21" t="s">
        <v>8</v>
      </c>
      <c r="G214" s="19"/>
      <c r="H214" s="19" t="s">
        <v>711</v>
      </c>
      <c r="I214" s="19" t="s">
        <v>35</v>
      </c>
    </row>
    <row r="215" customFormat="false" ht="51.75" hidden="false" customHeight="true" outlineLevel="0" collapsed="false">
      <c r="A215" s="19" t="s">
        <v>35</v>
      </c>
      <c r="B215" s="19" t="s">
        <v>708</v>
      </c>
      <c r="C215" s="19" t="s">
        <v>712</v>
      </c>
      <c r="D215" s="20" t="s">
        <v>4</v>
      </c>
      <c r="E215" s="19" t="s">
        <v>713</v>
      </c>
      <c r="F215" s="20" t="s">
        <v>4</v>
      </c>
      <c r="G215" s="19" t="s">
        <v>714</v>
      </c>
      <c r="H215" s="19" t="s">
        <v>715</v>
      </c>
      <c r="I215" s="19" t="s">
        <v>35</v>
      </c>
    </row>
    <row r="216" customFormat="false" ht="27.75" hidden="false" customHeight="true" outlineLevel="0" collapsed="false">
      <c r="A216" s="19" t="s">
        <v>35</v>
      </c>
      <c r="B216" s="19" t="s">
        <v>708</v>
      </c>
      <c r="C216" s="19" t="s">
        <v>716</v>
      </c>
      <c r="D216" s="20" t="s">
        <v>4</v>
      </c>
      <c r="E216" s="19" t="s">
        <v>713</v>
      </c>
      <c r="F216" s="20" t="s">
        <v>4</v>
      </c>
      <c r="G216" s="19" t="s">
        <v>717</v>
      </c>
      <c r="H216" s="19" t="s">
        <v>718</v>
      </c>
      <c r="I216" s="19" t="s">
        <v>35</v>
      </c>
    </row>
    <row r="217" customFormat="false" ht="27.75" hidden="false" customHeight="true" outlineLevel="0" collapsed="false">
      <c r="A217" s="19" t="s">
        <v>35</v>
      </c>
      <c r="B217" s="19" t="s">
        <v>708</v>
      </c>
      <c r="C217" s="19" t="s">
        <v>719</v>
      </c>
      <c r="D217" s="20" t="s">
        <v>4</v>
      </c>
      <c r="E217" s="19" t="s">
        <v>720</v>
      </c>
      <c r="F217" s="21" t="s">
        <v>8</v>
      </c>
      <c r="G217" s="19"/>
      <c r="H217" s="19" t="s">
        <v>721</v>
      </c>
      <c r="I217" s="19" t="s">
        <v>35</v>
      </c>
    </row>
    <row r="218" customFormat="false" ht="39.75" hidden="false" customHeight="true" outlineLevel="0" collapsed="false">
      <c r="A218" s="19" t="s">
        <v>35</v>
      </c>
      <c r="B218" s="19" t="s">
        <v>708</v>
      </c>
      <c r="C218" s="19" t="s">
        <v>722</v>
      </c>
      <c r="D218" s="21" t="s">
        <v>8</v>
      </c>
      <c r="E218" s="19"/>
      <c r="F218" s="20" t="s">
        <v>4</v>
      </c>
      <c r="G218" s="19" t="s">
        <v>723</v>
      </c>
      <c r="H218" s="19" t="s">
        <v>724</v>
      </c>
      <c r="I218" s="19" t="s">
        <v>35</v>
      </c>
    </row>
    <row r="219" customFormat="false" ht="87.75" hidden="false" customHeight="true" outlineLevel="0" collapsed="false">
      <c r="A219" s="19" t="s">
        <v>35</v>
      </c>
      <c r="B219" s="19" t="s">
        <v>725</v>
      </c>
      <c r="C219" s="19" t="s">
        <v>726</v>
      </c>
      <c r="D219" s="20" t="s">
        <v>4</v>
      </c>
      <c r="E219" s="19" t="s">
        <v>727</v>
      </c>
      <c r="F219" s="21" t="s">
        <v>8</v>
      </c>
      <c r="G219" s="19"/>
      <c r="H219" s="19" t="s">
        <v>728</v>
      </c>
      <c r="I219" s="19" t="s">
        <v>35</v>
      </c>
    </row>
    <row r="220" customFormat="false" ht="51.75" hidden="false" customHeight="true" outlineLevel="0" collapsed="false">
      <c r="A220" s="19" t="s">
        <v>35</v>
      </c>
      <c r="B220" s="19" t="s">
        <v>725</v>
      </c>
      <c r="C220" s="19" t="s">
        <v>729</v>
      </c>
      <c r="D220" s="20" t="s">
        <v>4</v>
      </c>
      <c r="E220" s="19" t="s">
        <v>730</v>
      </c>
      <c r="F220" s="20" t="s">
        <v>4</v>
      </c>
      <c r="G220" s="19" t="s">
        <v>731</v>
      </c>
      <c r="H220" s="19" t="s">
        <v>732</v>
      </c>
      <c r="I220" s="19" t="s">
        <v>35</v>
      </c>
    </row>
    <row r="221" customFormat="false" ht="39.75" hidden="false" customHeight="true" outlineLevel="0" collapsed="false">
      <c r="A221" s="19" t="s">
        <v>35</v>
      </c>
      <c r="B221" s="19" t="s">
        <v>733</v>
      </c>
      <c r="C221" s="19" t="s">
        <v>734</v>
      </c>
      <c r="D221" s="20" t="s">
        <v>4</v>
      </c>
      <c r="E221" s="19" t="s">
        <v>735</v>
      </c>
      <c r="F221" s="21" t="s">
        <v>8</v>
      </c>
      <c r="G221" s="19"/>
      <c r="H221" s="19" t="s">
        <v>736</v>
      </c>
      <c r="I221" s="19" t="s">
        <v>35</v>
      </c>
    </row>
    <row r="222" customFormat="false" ht="51.75" hidden="false" customHeight="true" outlineLevel="0" collapsed="false">
      <c r="A222" s="19" t="s">
        <v>35</v>
      </c>
      <c r="B222" s="19" t="s">
        <v>733</v>
      </c>
      <c r="C222" s="19" t="s">
        <v>737</v>
      </c>
      <c r="D222" s="20" t="s">
        <v>4</v>
      </c>
      <c r="E222" s="19" t="s">
        <v>738</v>
      </c>
      <c r="F222" s="21" t="s">
        <v>8</v>
      </c>
      <c r="G222" s="19"/>
      <c r="H222" s="19" t="s">
        <v>739</v>
      </c>
      <c r="I222" s="19" t="s">
        <v>35</v>
      </c>
    </row>
    <row r="223" customFormat="false" ht="51.75" hidden="false" customHeight="true" outlineLevel="0" collapsed="false">
      <c r="A223" s="19" t="s">
        <v>35</v>
      </c>
      <c r="B223" s="19" t="s">
        <v>733</v>
      </c>
      <c r="C223" s="19" t="s">
        <v>740</v>
      </c>
      <c r="D223" s="20" t="s">
        <v>4</v>
      </c>
      <c r="E223" s="19" t="s">
        <v>741</v>
      </c>
      <c r="F223" s="20" t="s">
        <v>4</v>
      </c>
      <c r="G223" s="19" t="s">
        <v>742</v>
      </c>
      <c r="H223" s="19" t="s">
        <v>743</v>
      </c>
      <c r="I223" s="19" t="s">
        <v>35</v>
      </c>
    </row>
    <row r="224" customFormat="false" ht="75.75" hidden="false" customHeight="true" outlineLevel="0" collapsed="false">
      <c r="A224" s="19" t="s">
        <v>35</v>
      </c>
      <c r="B224" s="19" t="s">
        <v>733</v>
      </c>
      <c r="C224" s="19" t="s">
        <v>744</v>
      </c>
      <c r="D224" s="20" t="s">
        <v>4</v>
      </c>
      <c r="E224" s="19" t="s">
        <v>745</v>
      </c>
      <c r="F224" s="22" t="s">
        <v>6</v>
      </c>
      <c r="G224" s="19" t="s">
        <v>746</v>
      </c>
      <c r="H224" s="19" t="s">
        <v>747</v>
      </c>
      <c r="I224" s="19" t="s">
        <v>35</v>
      </c>
    </row>
  </sheetData>
  <autoFilter ref="A1:I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748</v>
      </c>
    </row>
    <row r="4" customFormat="false" ht="16.5" hidden="false" customHeight="true" outlineLevel="0" collapsed="false">
      <c r="B4" s="24" t="s">
        <v>749</v>
      </c>
      <c r="C4" s="19" t="s">
        <v>750</v>
      </c>
    </row>
    <row r="5" customFormat="false" ht="16.5" hidden="false" customHeight="true" outlineLevel="0" collapsed="false">
      <c r="B5" s="24" t="s">
        <v>749</v>
      </c>
      <c r="C5" s="19" t="s">
        <v>751</v>
      </c>
    </row>
    <row r="6" customFormat="false" ht="16.5" hidden="false" customHeight="true" outlineLevel="0" collapsed="false">
      <c r="B6" s="24" t="s">
        <v>749</v>
      </c>
      <c r="C6" s="19" t="s">
        <v>752</v>
      </c>
    </row>
    <row r="7" customFormat="false" ht="16.5" hidden="false" customHeight="true" outlineLevel="0" collapsed="false">
      <c r="B7" s="24" t="s">
        <v>749</v>
      </c>
      <c r="C7" s="19" t="s">
        <v>753</v>
      </c>
    </row>
    <row r="8" customFormat="false" ht="16.5" hidden="false" customHeight="true" outlineLevel="0" collapsed="false">
      <c r="B8" s="24" t="s">
        <v>749</v>
      </c>
      <c r="C8" s="19" t="s">
        <v>754</v>
      </c>
    </row>
    <row r="9" customFormat="false" ht="16.5" hidden="false" customHeight="true" outlineLevel="0" collapsed="false">
      <c r="B9" s="24" t="s">
        <v>749</v>
      </c>
      <c r="C9" s="19" t="s">
        <v>755</v>
      </c>
    </row>
    <row r="10" customFormat="false" ht="16.5" hidden="false" customHeight="true" outlineLevel="0" collapsed="false">
      <c r="B10" s="24" t="s">
        <v>756</v>
      </c>
      <c r="C10" s="19" t="s">
        <v>757</v>
      </c>
    </row>
    <row r="11" customFormat="false" ht="16.5" hidden="false" customHeight="true" outlineLevel="0" collapsed="false">
      <c r="B11" s="24" t="s">
        <v>756</v>
      </c>
      <c r="C11" s="25" t="s">
        <v>758</v>
      </c>
    </row>
    <row r="12" customFormat="false" ht="16.5" hidden="false" customHeight="true" outlineLevel="0" collapsed="false">
      <c r="B12" s="24" t="s">
        <v>756</v>
      </c>
      <c r="C12" s="19" t="s">
        <v>759</v>
      </c>
    </row>
    <row r="13" customFormat="false" ht="16.5" hidden="false" customHeight="true" outlineLevel="0" collapsed="false">
      <c r="B13" s="24" t="s">
        <v>756</v>
      </c>
      <c r="C13" s="19" t="s">
        <v>760</v>
      </c>
    </row>
    <row r="14" customFormat="false" ht="16.5" hidden="false" customHeight="true" outlineLevel="0" collapsed="false">
      <c r="B14" s="24" t="s">
        <v>756</v>
      </c>
      <c r="C14" s="19" t="s">
        <v>761</v>
      </c>
    </row>
    <row r="15" customFormat="false" ht="16.5" hidden="false" customHeight="true" outlineLevel="0" collapsed="false">
      <c r="B15" s="24" t="s">
        <v>756</v>
      </c>
      <c r="C15" s="19" t="s">
        <v>762</v>
      </c>
    </row>
    <row r="16" customFormat="false" ht="16.5" hidden="false" customHeight="true" outlineLevel="0" collapsed="false">
      <c r="B16" s="24" t="s">
        <v>763</v>
      </c>
      <c r="C16" s="19" t="s">
        <v>764</v>
      </c>
    </row>
    <row r="17" customFormat="false" ht="30" hidden="false" customHeight="true" outlineLevel="0" collapsed="false">
      <c r="B17" s="24" t="s">
        <v>763</v>
      </c>
      <c r="C17" s="19" t="s">
        <v>765</v>
      </c>
    </row>
    <row r="18" customFormat="false" ht="16.5" hidden="false" customHeight="true" outlineLevel="0" collapsed="false">
      <c r="B18" s="24" t="s">
        <v>763</v>
      </c>
      <c r="C18" s="19" t="s">
        <v>766</v>
      </c>
    </row>
    <row r="19" customFormat="false" ht="16.5" hidden="false" customHeight="true" outlineLevel="0" collapsed="false">
      <c r="B19" s="24" t="s">
        <v>763</v>
      </c>
      <c r="C19" s="19" t="s">
        <v>767</v>
      </c>
    </row>
    <row r="20" customFormat="false" ht="16.5" hidden="false" customHeight="true" outlineLevel="0" collapsed="false">
      <c r="B20" s="24" t="s">
        <v>768</v>
      </c>
      <c r="C20" s="25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2026-08-27T02:09:27Z</dcterms:created>
  <dc:creator>openpyxl</dc:creator>
  <dc:description/>
  <dc:language>en-US</dc:language>
  <cp:lastModifiedBy/>
  <dcterms:modified xsi:type="dcterms:W3CDTF">2026-08-27T02:09:27Z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